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1db5f754a3740e/SEDAPAL/REPORTES/"/>
    </mc:Choice>
  </mc:AlternateContent>
  <xr:revisionPtr revIDLastSave="100" documentId="13_ncr:1_{DA8251EE-0521-4C46-9627-F70E30647389}" xr6:coauthVersionLast="47" xr6:coauthVersionMax="47" xr10:uidLastSave="{DB8C2C0D-807A-4582-93D6-F9ADE630BEF0}"/>
  <bookViews>
    <workbookView xWindow="-120" yWindow="-120" windowWidth="29040" windowHeight="15840" xr2:uid="{95818898-689F-4175-9487-A303FD0FAB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48" i="1" l="1"/>
  <c r="CE25" i="1" l="1"/>
  <c r="CE62" i="1" l="1"/>
  <c r="CE55" i="1" l="1"/>
  <c r="CE53" i="1"/>
  <c r="CE52" i="1"/>
  <c r="DL50" i="1"/>
  <c r="CE50" i="1"/>
  <c r="CE46" i="1"/>
  <c r="DL40" i="1"/>
  <c r="DL38" i="1"/>
  <c r="CE34" i="1" l="1"/>
  <c r="DL34" i="1"/>
  <c r="CE32" i="1" l="1"/>
  <c r="CE31" i="1"/>
  <c r="CE29" i="1"/>
  <c r="CE28" i="1"/>
  <c r="CE26" i="1"/>
  <c r="DL24" i="1"/>
  <c r="CE24" i="1"/>
  <c r="DL21" i="1"/>
  <c r="CE21" i="1"/>
  <c r="CE18" i="1"/>
  <c r="DL17" i="1"/>
  <c r="DL16" i="1"/>
  <c r="CE16" i="1"/>
  <c r="CE14" i="1"/>
  <c r="CE13" i="1"/>
  <c r="DL12" i="1"/>
  <c r="CE12" i="1"/>
  <c r="DL11" i="1"/>
  <c r="DL10" i="1"/>
  <c r="CE10" i="1"/>
  <c r="DL9" i="1"/>
  <c r="DL8" i="1"/>
  <c r="DL7" i="1"/>
  <c r="DL6" i="1"/>
  <c r="CE6" i="1"/>
  <c r="DL5" i="1"/>
  <c r="DL4" i="1"/>
  <c r="CE4" i="1"/>
  <c r="DL3" i="1"/>
  <c r="CE3" i="1"/>
  <c r="DL13" i="1"/>
  <c r="DL14" i="1"/>
  <c r="DL15" i="1"/>
  <c r="DL18" i="1"/>
  <c r="DL19" i="1"/>
  <c r="DL20" i="1"/>
  <c r="DL22" i="1"/>
  <c r="DL25" i="1"/>
  <c r="DL26" i="1"/>
  <c r="DL29" i="1"/>
  <c r="DL33" i="1"/>
  <c r="DL35" i="1"/>
  <c r="DL36" i="1"/>
  <c r="DL37" i="1"/>
  <c r="DL39" i="1"/>
  <c r="DL41" i="1"/>
  <c r="DL43" i="1"/>
  <c r="DL44" i="1"/>
  <c r="DL45" i="1"/>
  <c r="DL46" i="1"/>
  <c r="DL47" i="1"/>
  <c r="DL48" i="1"/>
  <c r="DL49" i="1"/>
  <c r="DL51" i="1"/>
  <c r="DL52" i="1"/>
  <c r="DL53" i="1"/>
  <c r="DL54" i="1"/>
  <c r="DL55" i="1"/>
  <c r="DL56" i="1"/>
  <c r="DL57" i="1"/>
  <c r="DL59" i="1"/>
  <c r="DL60" i="1"/>
  <c r="DL61" i="1"/>
  <c r="DL62" i="1"/>
  <c r="DL63" i="1"/>
  <c r="DL2" i="1"/>
  <c r="CE7" i="1"/>
  <c r="CE8" i="1"/>
  <c r="CE9" i="1"/>
  <c r="CE11" i="1"/>
  <c r="CE15" i="1"/>
  <c r="CE17" i="1"/>
  <c r="CE19" i="1"/>
  <c r="CE20" i="1"/>
  <c r="CE22" i="1"/>
  <c r="CE23" i="1"/>
  <c r="CE27" i="1"/>
  <c r="CE30" i="1"/>
  <c r="CE33" i="1"/>
  <c r="CE35" i="1"/>
  <c r="CE36" i="1"/>
  <c r="CE38" i="1"/>
  <c r="CE39" i="1"/>
  <c r="CE40" i="1"/>
  <c r="CE41" i="1"/>
  <c r="CE42" i="1"/>
  <c r="CE43" i="1"/>
  <c r="CE44" i="1"/>
  <c r="CE45" i="1"/>
  <c r="CE47" i="1"/>
  <c r="CE49" i="1"/>
  <c r="CE51" i="1"/>
  <c r="CE54" i="1"/>
  <c r="CE56" i="1"/>
  <c r="CE57" i="1"/>
  <c r="CE58" i="1"/>
  <c r="CE59" i="1"/>
  <c r="CE60" i="1"/>
  <c r="CE61" i="1"/>
  <c r="CE63" i="1"/>
  <c r="CE5" i="1"/>
  <c r="CE2" i="1"/>
</calcChain>
</file>

<file path=xl/sharedStrings.xml><?xml version="1.0" encoding="utf-8"?>
<sst xmlns="http://schemas.openxmlformats.org/spreadsheetml/2006/main" count="1569" uniqueCount="306">
  <si>
    <t>informe_id</t>
  </si>
  <si>
    <t>dia</t>
  </si>
  <si>
    <t>mes</t>
  </si>
  <si>
    <t>anio</t>
  </si>
  <si>
    <t>cs</t>
  </si>
  <si>
    <t>contratista</t>
  </si>
  <si>
    <t>codigo_infraestructura</t>
  </si>
  <si>
    <t>ubicacion</t>
  </si>
  <si>
    <t>suministro</t>
  </si>
  <si>
    <t>tipo</t>
  </si>
  <si>
    <t>volumen</t>
  </si>
  <si>
    <t>caja_registro</t>
  </si>
  <si>
    <t>marco_tapa</t>
  </si>
  <si>
    <t>escalera_interior</t>
  </si>
  <si>
    <t>escalera_exterior</t>
  </si>
  <si>
    <t>cuba_interior</t>
  </si>
  <si>
    <t>cuba_exterior</t>
  </si>
  <si>
    <t>loza_fondo</t>
  </si>
  <si>
    <t>loza_techo_interior</t>
  </si>
  <si>
    <t>loza_techo_exterior</t>
  </si>
  <si>
    <t>ducto_ventilacion</t>
  </si>
  <si>
    <t>cerco_perimetrico</t>
  </si>
  <si>
    <t>descarga</t>
  </si>
  <si>
    <t>obs_caja_registro</t>
  </si>
  <si>
    <t>sug_caja_registro</t>
  </si>
  <si>
    <t>obs_marco_tapa</t>
  </si>
  <si>
    <t>sug_marco_tapa</t>
  </si>
  <si>
    <t>obs_escalera_int</t>
  </si>
  <si>
    <t>sug_escalera_int</t>
  </si>
  <si>
    <t>obs_escalera_ext</t>
  </si>
  <si>
    <t>sug_escalera_ext</t>
  </si>
  <si>
    <t>obs_cuba_int</t>
  </si>
  <si>
    <t>sug_cuba_int</t>
  </si>
  <si>
    <t>obs_cuba_ext</t>
  </si>
  <si>
    <t>sug_cuba_ext</t>
  </si>
  <si>
    <t>obs_loza_fondo</t>
  </si>
  <si>
    <t>sug_loza_fondo</t>
  </si>
  <si>
    <t>obs_loza_techo_int</t>
  </si>
  <si>
    <t>sug_loza_techo_int</t>
  </si>
  <si>
    <t>obs_loza_techo_ext</t>
  </si>
  <si>
    <t>sug_loza_techo_ext</t>
  </si>
  <si>
    <t>obs_ducto</t>
  </si>
  <si>
    <t>sug_ducto</t>
  </si>
  <si>
    <t>obs_cerco</t>
  </si>
  <si>
    <t>sug_cerco</t>
  </si>
  <si>
    <t>obs_descarga</t>
  </si>
  <si>
    <t>sug_descarga</t>
  </si>
  <si>
    <t>valvulas_aduccion_2</t>
  </si>
  <si>
    <t>valvulas_aduccion_3</t>
  </si>
  <si>
    <t>valvulas_aduccion_4</t>
  </si>
  <si>
    <t>valvulas_aduccion_6</t>
  </si>
  <si>
    <t>valvulas_aduccion_8</t>
  </si>
  <si>
    <t>valvulas_aduccion_10</t>
  </si>
  <si>
    <t>valvulas_aduccion_12</t>
  </si>
  <si>
    <t>valvulas_bypass_2</t>
  </si>
  <si>
    <t>valvulas_bypass_3</t>
  </si>
  <si>
    <t>valvulas_bypass_4</t>
  </si>
  <si>
    <t>valvulas_bypass_6</t>
  </si>
  <si>
    <t>valvulas_bypass_8</t>
  </si>
  <si>
    <t>valvulas_bypass_10</t>
  </si>
  <si>
    <t>valvulas_bypass_12</t>
  </si>
  <si>
    <t>valvulas_desague_2</t>
  </si>
  <si>
    <t>valvulas_desague_3</t>
  </si>
  <si>
    <t>valvulas_desague_4</t>
  </si>
  <si>
    <t>valvulas_desague_6</t>
  </si>
  <si>
    <t>valvulas_desague_8</t>
  </si>
  <si>
    <t>valvulas_desague_10</t>
  </si>
  <si>
    <t>valvulas_desague_12</t>
  </si>
  <si>
    <t>valvulas_operativas</t>
  </si>
  <si>
    <t>valvulas_no_operativas</t>
  </si>
  <si>
    <t>obs_valvulas_conduccion</t>
  </si>
  <si>
    <t>sug_valvulas_conduccion</t>
  </si>
  <si>
    <t>obs_valvulas_aduccion</t>
  </si>
  <si>
    <t>sug_valvulas_aduccion</t>
  </si>
  <si>
    <t>obs_valvulas_bypass</t>
  </si>
  <si>
    <t>sug_valvulas_bypass</t>
  </si>
  <si>
    <t>obs_valvulas_desague</t>
  </si>
  <si>
    <t>sug_valvulas_desague</t>
  </si>
  <si>
    <t>canastillas_operativas</t>
  </si>
  <si>
    <t>canastillas_no_operativas</t>
  </si>
  <si>
    <t>obs_canastillas_aduccion</t>
  </si>
  <si>
    <t>sug_canastillas_aduccion</t>
  </si>
  <si>
    <t>medidas_diametro</t>
  </si>
  <si>
    <t>medidas_diametro_interno</t>
  </si>
  <si>
    <t>medidas_altura_util</t>
  </si>
  <si>
    <t>medidas_altura_total</t>
  </si>
  <si>
    <t>ENERO</t>
  </si>
  <si>
    <t>APOYADO</t>
  </si>
  <si>
    <t>normal</t>
  </si>
  <si>
    <t>critico</t>
  </si>
  <si>
    <t>CAMBIAR ESCALERA</t>
  </si>
  <si>
    <t>ELEVADO</t>
  </si>
  <si>
    <t>CISTERNA</t>
  </si>
  <si>
    <t>RE-242 (R-2.6)</t>
  </si>
  <si>
    <t>RE-411</t>
  </si>
  <si>
    <t>CR-30</t>
  </si>
  <si>
    <t>CR-129</t>
  </si>
  <si>
    <t>CR-120</t>
  </si>
  <si>
    <t>RE-415 (R-5B)</t>
  </si>
  <si>
    <t>RE-414 (R-5A)</t>
  </si>
  <si>
    <t>RE-150</t>
  </si>
  <si>
    <t>CR-497</t>
  </si>
  <si>
    <t>CR-498</t>
  </si>
  <si>
    <t>CR-503</t>
  </si>
  <si>
    <t>CP1 (CR-391)</t>
  </si>
  <si>
    <t>CR-518 (C-P2)</t>
  </si>
  <si>
    <t>CR-516 (R-P3)</t>
  </si>
  <si>
    <t>CR-169 (R2)</t>
  </si>
  <si>
    <t>RC-6 (CR-286)</t>
  </si>
  <si>
    <t>RE-099  (R1.5)</t>
  </si>
  <si>
    <t>RH-4 (CR-288)</t>
  </si>
  <si>
    <t>RC - 8.9</t>
  </si>
  <si>
    <t>R-2</t>
  </si>
  <si>
    <t>CR-212</t>
  </si>
  <si>
    <t>CR-13</t>
  </si>
  <si>
    <t>R-104</t>
  </si>
  <si>
    <t>RAP - 06</t>
  </si>
  <si>
    <t>RB-6 (CR-282)</t>
  </si>
  <si>
    <t>RE-138</t>
  </si>
  <si>
    <t>R-2 (CR-284)</t>
  </si>
  <si>
    <t>R-E1</t>
  </si>
  <si>
    <t>RE-168 (R-2.5)</t>
  </si>
  <si>
    <t>CR-164</t>
  </si>
  <si>
    <t>RE-100</t>
  </si>
  <si>
    <t>CR-191</t>
  </si>
  <si>
    <t>R E - 151</t>
  </si>
  <si>
    <t>R-1</t>
  </si>
  <si>
    <t>R-PE1</t>
  </si>
  <si>
    <t>R-PA1 (CR-506)</t>
  </si>
  <si>
    <t>R-PA2 (CR-507)</t>
  </si>
  <si>
    <t>R-PA3 (CR-508)</t>
  </si>
  <si>
    <t>R-PA4</t>
  </si>
  <si>
    <t>R-PA5</t>
  </si>
  <si>
    <t>RB-9 (CR-283)</t>
  </si>
  <si>
    <t>RAP-01</t>
  </si>
  <si>
    <t>RAP-02</t>
  </si>
  <si>
    <t>RAP-03</t>
  </si>
  <si>
    <t>RAP -04</t>
  </si>
  <si>
    <t>RAP-05</t>
  </si>
  <si>
    <t>RE-230 (CR-251)</t>
  </si>
  <si>
    <t>CR-168 (R-1)</t>
  </si>
  <si>
    <t>CR-183 RD-4</t>
  </si>
  <si>
    <t>CR-226 (RA-2)</t>
  </si>
  <si>
    <t>R-1 (CR-116)</t>
  </si>
  <si>
    <t>CR-215</t>
  </si>
  <si>
    <t>CR-114</t>
  </si>
  <si>
    <t>R-252</t>
  </si>
  <si>
    <t>R-242</t>
  </si>
  <si>
    <t>R-243</t>
  </si>
  <si>
    <t>RA-1 (CR-277)</t>
  </si>
  <si>
    <t>RE-2 (R-240 )</t>
  </si>
  <si>
    <t>RE-412</t>
  </si>
  <si>
    <t>HIDROSERVICIOS AA EIRL</t>
  </si>
  <si>
    <t>ATE VITARTE</t>
  </si>
  <si>
    <t>SIN REJILLAS</t>
  </si>
  <si>
    <t>COLOCAR</t>
  </si>
  <si>
    <t>CORROIDO</t>
  </si>
  <si>
    <t>NO TIENE</t>
  </si>
  <si>
    <t>CONSTRUIR</t>
  </si>
  <si>
    <t>valvulas_conduccion_2</t>
  </si>
  <si>
    <t>valvulas_conduccion_3</t>
  </si>
  <si>
    <t>valvulas_conduccion_4</t>
  </si>
  <si>
    <t>valvulas_conduccion_6</t>
  </si>
  <si>
    <t>valvulas_conduccion_10</t>
  </si>
  <si>
    <t>valvulas_conduccion_8</t>
  </si>
  <si>
    <t>valvulas_conduccion_12</t>
  </si>
  <si>
    <t>valvulas_impulsion_2</t>
  </si>
  <si>
    <t>valvulas_impulsion_3</t>
  </si>
  <si>
    <t>valvulas_impulsion_4</t>
  </si>
  <si>
    <t>valvulas_impulsion_6</t>
  </si>
  <si>
    <t>valvulas_impulsion_8</t>
  </si>
  <si>
    <t>valvulas_impulsion_10</t>
  </si>
  <si>
    <t>valvulas_impulsion_12</t>
  </si>
  <si>
    <t>sug_valvulas_impulsion</t>
  </si>
  <si>
    <t>obs_valvulas_impulsion</t>
  </si>
  <si>
    <t>canastillas_aduccion_2</t>
  </si>
  <si>
    <t>canastillas_aduccion_3</t>
  </si>
  <si>
    <t>canastillas_aduccion_4</t>
  </si>
  <si>
    <t>canastillas_aduccion_6</t>
  </si>
  <si>
    <t>canastillas_aduccion_8</t>
  </si>
  <si>
    <t>canastillas_aduccion_10</t>
  </si>
  <si>
    <t>canastillas_aduccion_14</t>
  </si>
  <si>
    <t>canastillas_succion_2</t>
  </si>
  <si>
    <t>canastillas_succion_3</t>
  </si>
  <si>
    <t>canastillas_succion_4</t>
  </si>
  <si>
    <t>canastillas_succion_6</t>
  </si>
  <si>
    <t>canastillas_succion_8</t>
  </si>
  <si>
    <t>canastillas_succion_10</t>
  </si>
  <si>
    <t>canastillas_succion_14</t>
  </si>
  <si>
    <t>canastillas_desague_2</t>
  </si>
  <si>
    <t>canastillas_desague_4</t>
  </si>
  <si>
    <t>canastillas_desague_3</t>
  </si>
  <si>
    <t>canastillas_desague_6</t>
  </si>
  <si>
    <t>canastillas_desague_8</t>
  </si>
  <si>
    <t>canastillas_desague_10</t>
  </si>
  <si>
    <t>canastillas_desague_14</t>
  </si>
  <si>
    <t>NO TIENE DE 10"</t>
  </si>
  <si>
    <t>INSTALAR</t>
  </si>
  <si>
    <t>obs_canastillas_succion</t>
  </si>
  <si>
    <t>sug_canastillas_succion</t>
  </si>
  <si>
    <t>obs_canastillas_desague</t>
  </si>
  <si>
    <t>sug_canastillas_desague</t>
  </si>
  <si>
    <t>FALTAN 3 ESCALONES</t>
  </si>
  <si>
    <t>NO TIENE DE 14"</t>
  </si>
  <si>
    <t>CON DEGRADACION</t>
  </si>
  <si>
    <t>EVALUAR</t>
  </si>
  <si>
    <t>SIN TUBOS</t>
  </si>
  <si>
    <t>NO TIENE DE 6"</t>
  </si>
  <si>
    <t>NO TIENE DE 4"</t>
  </si>
  <si>
    <t>CORROIDA</t>
  </si>
  <si>
    <t>CAMBIAR</t>
  </si>
  <si>
    <t>TUBERIA CORROIDA</t>
  </si>
  <si>
    <t>MANTENIMIENTO</t>
  </si>
  <si>
    <t>NO TIENE DE 8"</t>
  </si>
  <si>
    <t>DESPRENDIDA</t>
  </si>
  <si>
    <t>POR COLAPSAR</t>
  </si>
  <si>
    <t>TAPA RAJADA</t>
  </si>
  <si>
    <t>NO TIENE 2 DE 4"</t>
  </si>
  <si>
    <t>NO TIENE  2 DE 3"</t>
  </si>
  <si>
    <t xml:space="preserve">CORROIDOS </t>
  </si>
  <si>
    <t>TUBOS CORROIDOS</t>
  </si>
  <si>
    <t>COLAPSANDO</t>
  </si>
  <si>
    <t>NO TIENE REJILLA</t>
  </si>
  <si>
    <t>DE ETERNIT</t>
  </si>
  <si>
    <t>LE FALTA 2 DE 8"</t>
  </si>
  <si>
    <t>LE FALTA REJILLA</t>
  </si>
  <si>
    <t>NO TIENE DE 12"</t>
  </si>
  <si>
    <t>COLAPSADO EN PARTE</t>
  </si>
  <si>
    <t>PELIGRO TOTAL</t>
  </si>
  <si>
    <r>
      <t>NO TIENE DE 10</t>
    </r>
    <r>
      <rPr>
        <b/>
        <sz val="11"/>
        <color theme="1"/>
        <rFont val="Aptos Narrow"/>
        <family val="2"/>
        <scheme val="minor"/>
      </rPr>
      <t>"</t>
    </r>
  </si>
  <si>
    <t>FALTA LA MITAD</t>
  </si>
  <si>
    <t>NO TIENE 2 DE 6"</t>
  </si>
  <si>
    <t>SIN TAPA</t>
  </si>
  <si>
    <t>SIN REJILLA-TAPA</t>
  </si>
  <si>
    <t>SOLO HUECOS</t>
  </si>
  <si>
    <t>INSTALAR TUBOS</t>
  </si>
  <si>
    <t>LEVANTAR MAS MURO</t>
  </si>
  <si>
    <t>SIN REJILLA</t>
  </si>
  <si>
    <t>INS0</t>
  </si>
  <si>
    <t>NO TIENE 2 DE 10"</t>
  </si>
  <si>
    <t>EVAUAR</t>
  </si>
  <si>
    <t>CAMBIAR TUBOS</t>
  </si>
  <si>
    <t>LE FALTA UNA DE 6"</t>
  </si>
  <si>
    <t>INOPERATIVA</t>
  </si>
  <si>
    <t>AV. PRINCIPAL N-2, ASOC. SOL DE CAJAMARQUILLA, LURIGANCHO</t>
  </si>
  <si>
    <t>MAL UBICADA</t>
  </si>
  <si>
    <t>REUBICAR</t>
  </si>
  <si>
    <t>B-1, A.H. LA RONCADORA, ATE</t>
  </si>
  <si>
    <t>AV. VILLA DE LOS PERIODISTAS A-05,A.H. VILLA PERIOSITA,  ATE</t>
  </si>
  <si>
    <t>D-2, A.H. MARIA JESUS ESPINOZA, ATE.</t>
  </si>
  <si>
    <t>A-9,URB. POPULAR LOS CEDROS DE VILLA-ECNC, LURIGANCHO</t>
  </si>
  <si>
    <t>LL1-5, ASOC. UNION PROGRESO DE CAJAMARQUILLA-ECNC-S.A., HUAROCHIRI</t>
  </si>
  <si>
    <t>G2-3, A.H. LOS PORTALES DE BASILIO AUQUI, SAN ANTONIO DE HUAROCHIRI</t>
  </si>
  <si>
    <t>UCV 222 LOTE 29, A.H. HUAYCAN ZONA T, ATE.</t>
  </si>
  <si>
    <t>UCV 213, LOTE N° 32, AH. HUAYCAN ZONA S</t>
  </si>
  <si>
    <t>CONJUNTO HABITACIONAL LA ALAMEDA, BOCK 06, LA MOLINA</t>
  </si>
  <si>
    <t>MZ. S6 LOTE N° 24, URB. PORTADA DEL SOL III ETAPA, LA MOLINA</t>
  </si>
  <si>
    <t>CALLE NAPLO 310, URB SOL DE LA MOLINA 1° ETAPA, LA MOLINA</t>
  </si>
  <si>
    <t>HONOLULU N° 285, URB. SOL DE LA MOLINA 3° ETAPA, LA MOLINA</t>
  </si>
  <si>
    <t>C3-6A, ASOC. AGRUPACION ARTESANAL VALLE EL TRIUNFO</t>
  </si>
  <si>
    <t>CALLE LOS TUCANES 280, URB. SANTA ANITA, SANTA ANITA</t>
  </si>
  <si>
    <t xml:space="preserve">CALLE EL PEDREGAL MZ. D LOTE 14, COOP. LOS CHANCAS DE ANDAHUAYLAS </t>
  </si>
  <si>
    <t>PTE. ALTA DE MZ. C LOTE N°02, ASOC ROARDI - LA MOLINA</t>
  </si>
  <si>
    <t>CALLE EL MONTE 211, URB. LAS VIÑAS DE LA MOLINA, LA MOLINA.</t>
  </si>
  <si>
    <t>AV. EL AGUSTINO 542, A.H. PUEBLO JOVEN CERRO EL AGUSTINO.</t>
  </si>
  <si>
    <t>PSJE. CHINCHAYSUYO 287, A. H. SANTA ISABEL - EL AGUSTINO</t>
  </si>
  <si>
    <t>AV. SANTA ROSA N° 500, A. H. 7 DE OCTUBRE, EL AGUSTINO</t>
  </si>
  <si>
    <t>PSJE. LORETO, MZ. J LOTE Nº 2A, A. H. 7 DE OCTUBRE</t>
  </si>
  <si>
    <t xml:space="preserve">PS. ATAHUALPA 135, A. H. SANTA ISABEL, EL AGUSTINO. </t>
  </si>
  <si>
    <t>K LOTE Nº 11, A. H. CERRO EL INDEPENDIENTE, EL AGUSTINO</t>
  </si>
  <si>
    <t>R - 4, URB. EL GOLF DE HUAMPANI 1RA. ETAPA, LURIGANCHO</t>
  </si>
  <si>
    <t>MZ.A LOTE 19, URB. EL HARAS DE HUAMPANI, LURIGANCHO.</t>
  </si>
  <si>
    <t>H-24, URB. MIRASOL DE HUAMPANI 1RA. ETAPA, LURIGANCHO.</t>
  </si>
  <si>
    <t xml:space="preserve">CALLE EL CONDADO, MZ. K2 LOTE Nº 01, URB. PORTADA DEL SOL </t>
  </si>
  <si>
    <t>PSJE. SAN MIGUEL UCV 218 LOTE 57, HUAYCAN, ZONA T</t>
  </si>
  <si>
    <t>CALLE LAS ORQUIDEAS 336, URB. LA MOLINA 1RA. ETAPA, LA MOLINA</t>
  </si>
  <si>
    <t>UCV 233B LOTE N° 298, A. H. HUAYCAN, ZONA Z</t>
  </si>
  <si>
    <t>B4 LOTE 10, URB. EL SOL DE HUAMPANI - LURIGANCHO</t>
  </si>
  <si>
    <t>FTE. MZ. A LOTE N° 08, ASOC. CIRCUNVALACION - EL AGUSTINO</t>
  </si>
  <si>
    <t>AV. EL HERRAJE Nº 120, URB. RINCONADA BAJA - EL AGUSTINO</t>
  </si>
  <si>
    <t xml:space="preserve">ELIAS RENAN OLIVERA  Nº 501, URB. CORPORACION EL AGUSTINO. </t>
  </si>
  <si>
    <t>M- 08, A. H. LAS TERRAZAS DE  CATALINA HUANCA, EL AGUSTINO</t>
  </si>
  <si>
    <t>T-12, URB. LAS TERRAZAS DE CARAPONGUILLO, LURIGANCHO</t>
  </si>
  <si>
    <t>MZ.  H LOTE N° 66, URB. HUACHIPA NORTE, LURIGANCHO.</t>
  </si>
  <si>
    <t>M1 - 09, URB. TERRAZAS DE CARAPONGUILLO - LURIGANCHO</t>
  </si>
  <si>
    <t>V-17, URB. TERRAZAS DE CARAPONGUILLO 3RA. ETAPA, LURIGANCHO.</t>
  </si>
  <si>
    <t>K LOTE 38, EL MIRASOL 2DA. ETAPA, LURIGANCHO</t>
  </si>
  <si>
    <t>S LOTE 7, URB. EL MIRASOL 3RA. ETAPA, LURIGANCHO</t>
  </si>
  <si>
    <t>I LOTE 3, URB. EL MIRASOL 5TA. ETAPA, LURIGANCHO</t>
  </si>
  <si>
    <t>MZ. S1 LOTE 5, MIRASOLES DE HUAMPANI, LURIGANCHO</t>
  </si>
  <si>
    <t>Z LOTE 04, URB. MIRASOL DE HUAMPANI 4TA. ETAPA, LURIGANCHO.</t>
  </si>
  <si>
    <t>MZ. M LOTE 29, COOP. MUSA 3RA. ETAPA, LA MOLINA</t>
  </si>
  <si>
    <t>MZ. K3 LOTE Nº 1B - URB. PORTADA DEL SOL, LA MOLINA.</t>
  </si>
  <si>
    <t>UCV 135B LOTE Nº 71, ZONA J - A. H. HUAYCAN</t>
  </si>
  <si>
    <t>MZ. F´ LOTE Nº 5, A. H. MONTERREY - ATE.</t>
  </si>
  <si>
    <t>MZ. C LOTE N° 04, A. H. HORACIO ZEVALLOS, GRUPO G</t>
  </si>
  <si>
    <t>CALLE MAR DEL PLATA L-23, URB. SANTA ROSITA II ETAPA</t>
  </si>
  <si>
    <t>UCV 38 LOTE Nº 01, ZONA B -  A. H. HUAYCAN , ATE.</t>
  </si>
  <si>
    <t>MZ. L LOTE Nº 6, COOP. MANILSA</t>
  </si>
  <si>
    <t>PASAJE SAN MARTIN X LOTE 20, A.H. AMAUTA ZONA A, ATE</t>
  </si>
  <si>
    <t>CALLE 20 DE JULIO, J-1, ASOC. EL PARAISO DE AMAUTA, ATE</t>
  </si>
  <si>
    <t>CALLE MAR DEL PLATA, MZ. L-26, URB. SANTA ROSITA II, ATE</t>
  </si>
  <si>
    <t>CALLE MAR DEL PLATA MZ. L-24, URB. SANTA ROSITA II, ATE</t>
  </si>
  <si>
    <t>PARTE ALTA MZ. B-1, ASOC. VILLA VITARTE, ATE.</t>
  </si>
  <si>
    <t>FEBRERO</t>
  </si>
  <si>
    <t>CAMBIAR 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</si>
</sst>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3" fillId="0" borderId="0" xfId="0" applyFont="1"/>
    <xf numFmtId="0" fontId="0" fillId="3" borderId="0" xfId="0" applyFill="1"/>
    <xf numFmtId="0" fontId="5" fillId="0" borderId="0" xfId="0" applyFont="1"/>
    <xf numFmtId="0" fontId="0" fillId="4" borderId="0" xfId="0" applyFill="1"/>
    <xf numFmtId="0" fontId="0" fillId="0" borderId="0" xfId="0" applyFill="1"/>
  </cellXfs>
  <cellStyles count="2">
    <cellStyle name="Normal" xfId="0" builtinId="0"/>
    <cellStyle name="Normal 2 2" xfId="1" xr:uid="{CD1C75B4-E95D-4C1C-AFB2-060C1DF857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B06A-B169-4E7F-8603-2294F411B5D0}">
  <dimension ref="A1:DW63"/>
  <sheetViews>
    <sheetView tabSelected="1" topLeftCell="Z1" zoomScaleNormal="100" workbookViewId="0">
      <pane ySplit="1" topLeftCell="A2" activePane="bottomLeft" state="frozen"/>
      <selection activeCell="E1" sqref="E1"/>
      <selection pane="bottomLeft" activeCell="Z9" sqref="A9:XFD9"/>
    </sheetView>
  </sheetViews>
  <sheetFormatPr baseColWidth="10" defaultRowHeight="15" x14ac:dyDescent="0.25"/>
  <cols>
    <col min="1" max="1" width="11.42578125" customWidth="1"/>
    <col min="2" max="2" width="3.85546875" bestFit="1" customWidth="1"/>
    <col min="3" max="5" width="11.42578125" hidden="1" customWidth="1"/>
    <col min="6" max="6" width="11.42578125" customWidth="1"/>
    <col min="7" max="7" width="14.7109375" customWidth="1"/>
    <col min="8" max="8" width="68.5703125" hidden="1" customWidth="1"/>
    <col min="10" max="10" width="11.42578125" customWidth="1"/>
    <col min="11" max="11" width="7.5703125" customWidth="1"/>
    <col min="12" max="12" width="11.42578125" customWidth="1"/>
    <col min="14" max="14" width="15.85546875" bestFit="1" customWidth="1"/>
    <col min="24" max="24" width="16.7109375" bestFit="1" customWidth="1"/>
    <col min="25" max="25" width="16.5703125" bestFit="1" customWidth="1"/>
    <col min="26" max="26" width="15.7109375" bestFit="1" customWidth="1"/>
    <col min="27" max="27" width="15.5703125" bestFit="1" customWidth="1"/>
    <col min="28" max="28" width="19.5703125" bestFit="1" customWidth="1"/>
    <col min="29" max="29" width="17.85546875" bestFit="1" customWidth="1"/>
    <col min="30" max="30" width="16.140625" bestFit="1" customWidth="1"/>
    <col min="31" max="31" width="15.85546875" bestFit="1" customWidth="1"/>
    <col min="32" max="32" width="18.42578125" bestFit="1" customWidth="1"/>
    <col min="33" max="33" width="12.5703125" bestFit="1" customWidth="1"/>
    <col min="34" max="34" width="12.85546875" bestFit="1" customWidth="1"/>
    <col min="35" max="35" width="12.7109375" bestFit="1" customWidth="1"/>
    <col min="36" max="36" width="14.85546875" bestFit="1" customWidth="1"/>
    <col min="37" max="37" width="14.7109375" bestFit="1" customWidth="1"/>
    <col min="38" max="38" width="17.85546875" bestFit="1" customWidth="1"/>
    <col min="39" max="39" width="17.7109375" bestFit="1" customWidth="1"/>
    <col min="40" max="40" width="18" bestFit="1" customWidth="1"/>
    <col min="41" max="41" width="17.85546875" customWidth="1"/>
    <col min="42" max="42" width="10.140625" bestFit="1" customWidth="1"/>
    <col min="43" max="44" width="10" bestFit="1" customWidth="1"/>
    <col min="45" max="45" width="9.85546875" bestFit="1" customWidth="1"/>
    <col min="46" max="46" width="14.140625" customWidth="1"/>
    <col min="47" max="47" width="13.5703125" customWidth="1"/>
    <col min="48" max="52" width="21.7109375" bestFit="1" customWidth="1"/>
    <col min="53" max="53" width="22.7109375" bestFit="1" customWidth="1"/>
    <col min="54" max="61" width="22.85546875" customWidth="1"/>
    <col min="62" max="66" width="19.42578125" bestFit="1" customWidth="1"/>
    <col min="67" max="68" width="20.42578125" bestFit="1" customWidth="1"/>
    <col min="69" max="73" width="17.42578125" bestFit="1" customWidth="1"/>
    <col min="74" max="75" width="18.42578125" bestFit="1" customWidth="1"/>
    <col min="76" max="80" width="18.5703125" bestFit="1" customWidth="1"/>
    <col min="81" max="82" width="19.5703125" bestFit="1" customWidth="1"/>
    <col min="83" max="83" width="18.5703125" bestFit="1" customWidth="1"/>
    <col min="84" max="84" width="21.85546875" bestFit="1" customWidth="1"/>
    <col min="85" max="85" width="24" bestFit="1" customWidth="1"/>
    <col min="86" max="86" width="23.85546875" bestFit="1" customWidth="1"/>
    <col min="87" max="88" width="23.85546875" customWidth="1"/>
    <col min="89" max="89" width="21.85546875" bestFit="1" customWidth="1"/>
    <col min="90" max="90" width="21.7109375" bestFit="1" customWidth="1"/>
    <col min="91" max="91" width="19.7109375" bestFit="1" customWidth="1"/>
    <col min="92" max="92" width="19.5703125" bestFit="1" customWidth="1"/>
    <col min="93" max="93" width="20.85546875" bestFit="1" customWidth="1"/>
    <col min="94" max="94" width="20.7109375" bestFit="1" customWidth="1"/>
    <col min="95" max="99" width="12.7109375" bestFit="1" customWidth="1"/>
    <col min="100" max="101" width="13.7109375" bestFit="1" customWidth="1"/>
    <col min="102" max="115" width="13.7109375" customWidth="1"/>
    <col min="116" max="116" width="21.28515625" bestFit="1" customWidth="1"/>
    <col min="117" max="118" width="24.42578125" bestFit="1" customWidth="1"/>
    <col min="119" max="119" width="24.28515625" bestFit="1" customWidth="1"/>
    <col min="120" max="123" width="24.28515625" customWidth="1"/>
    <col min="124" max="124" width="17.7109375" bestFit="1" customWidth="1"/>
    <col min="125" max="125" width="25" bestFit="1" customWidth="1"/>
    <col min="126" max="126" width="18.7109375" bestFit="1" customWidth="1"/>
    <col min="127" max="127" width="19.85546875" bestFit="1" customWidth="1"/>
  </cols>
  <sheetData>
    <row r="1" spans="1:127" s="1" customFormat="1" ht="3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164</v>
      </c>
      <c r="BA1" s="1" t="s">
        <v>163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47</v>
      </c>
      <c r="BK1" s="1" t="s">
        <v>48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174</v>
      </c>
      <c r="CJ1" s="1" t="s">
        <v>173</v>
      </c>
      <c r="CK1" s="1" t="s">
        <v>72</v>
      </c>
      <c r="CL1" s="1" t="s">
        <v>73</v>
      </c>
      <c r="CM1" s="1" t="s">
        <v>74</v>
      </c>
      <c r="CN1" s="1" t="s">
        <v>75</v>
      </c>
      <c r="CO1" s="1" t="s">
        <v>76</v>
      </c>
      <c r="CP1" s="1" t="s">
        <v>77</v>
      </c>
      <c r="CQ1" s="1" t="s">
        <v>175</v>
      </c>
      <c r="CR1" s="1" t="s">
        <v>176</v>
      </c>
      <c r="CS1" s="1" t="s">
        <v>177</v>
      </c>
      <c r="CT1" s="1" t="s">
        <v>178</v>
      </c>
      <c r="CU1" s="1" t="s">
        <v>179</v>
      </c>
      <c r="CV1" s="1" t="s">
        <v>180</v>
      </c>
      <c r="CW1" s="1" t="s">
        <v>181</v>
      </c>
      <c r="CX1" s="1" t="s">
        <v>182</v>
      </c>
      <c r="CY1" s="1" t="s">
        <v>183</v>
      </c>
      <c r="CZ1" s="1" t="s">
        <v>184</v>
      </c>
      <c r="DA1" s="1" t="s">
        <v>185</v>
      </c>
      <c r="DB1" s="1" t="s">
        <v>186</v>
      </c>
      <c r="DC1" s="1" t="s">
        <v>187</v>
      </c>
      <c r="DD1" s="1" t="s">
        <v>188</v>
      </c>
      <c r="DE1" s="1" t="s">
        <v>189</v>
      </c>
      <c r="DF1" s="1" t="s">
        <v>191</v>
      </c>
      <c r="DG1" s="1" t="s">
        <v>190</v>
      </c>
      <c r="DH1" s="1" t="s">
        <v>192</v>
      </c>
      <c r="DI1" s="1" t="s">
        <v>193</v>
      </c>
      <c r="DJ1" s="1" t="s">
        <v>194</v>
      </c>
      <c r="DK1" s="1" t="s">
        <v>195</v>
      </c>
      <c r="DL1" s="1" t="s">
        <v>78</v>
      </c>
      <c r="DM1" s="1" t="s">
        <v>79</v>
      </c>
      <c r="DN1" s="1" t="s">
        <v>80</v>
      </c>
      <c r="DO1" s="1" t="s">
        <v>81</v>
      </c>
      <c r="DP1" s="1" t="s">
        <v>198</v>
      </c>
      <c r="DQ1" s="1" t="s">
        <v>199</v>
      </c>
      <c r="DR1" s="1" t="s">
        <v>200</v>
      </c>
      <c r="DS1" s="1" t="s">
        <v>201</v>
      </c>
      <c r="DT1" s="1" t="s">
        <v>82</v>
      </c>
      <c r="DU1" s="1" t="s">
        <v>83</v>
      </c>
      <c r="DV1" s="1" t="s">
        <v>84</v>
      </c>
      <c r="DW1" s="1" t="s">
        <v>85</v>
      </c>
    </row>
    <row r="2" spans="1:127" x14ac:dyDescent="0.25">
      <c r="A2">
        <v>1</v>
      </c>
      <c r="B2">
        <v>8</v>
      </c>
      <c r="C2" t="s">
        <v>86</v>
      </c>
      <c r="D2">
        <v>2026</v>
      </c>
      <c r="E2" t="s">
        <v>153</v>
      </c>
      <c r="F2" t="s">
        <v>152</v>
      </c>
      <c r="G2" t="s">
        <v>93</v>
      </c>
      <c r="H2" t="s">
        <v>263</v>
      </c>
      <c r="I2">
        <v>4249572</v>
      </c>
      <c r="J2" t="s">
        <v>87</v>
      </c>
      <c r="K2">
        <v>1300</v>
      </c>
      <c r="L2" t="s">
        <v>89</v>
      </c>
      <c r="M2" t="s">
        <v>88</v>
      </c>
      <c r="N2" t="s">
        <v>89</v>
      </c>
      <c r="O2" t="s">
        <v>88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U2" t="s">
        <v>88</v>
      </c>
      <c r="V2" s="4"/>
      <c r="W2" t="s">
        <v>88</v>
      </c>
      <c r="X2" t="s">
        <v>154</v>
      </c>
      <c r="Y2" t="s">
        <v>155</v>
      </c>
      <c r="AB2" t="s">
        <v>209</v>
      </c>
      <c r="AC2" t="s">
        <v>90</v>
      </c>
      <c r="AR2" t="s">
        <v>157</v>
      </c>
      <c r="AS2" t="s">
        <v>158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0</v>
      </c>
      <c r="CD2">
        <v>0</v>
      </c>
      <c r="CE2">
        <f>SUM(AV2:CD2)</f>
        <v>4</v>
      </c>
      <c r="CF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f>SUM(CQ2:DK2)</f>
        <v>0</v>
      </c>
      <c r="DN2" t="s">
        <v>196</v>
      </c>
      <c r="DO2" t="s">
        <v>197</v>
      </c>
      <c r="DT2">
        <v>17.899999999999999</v>
      </c>
      <c r="DV2">
        <v>5.2</v>
      </c>
      <c r="DW2">
        <v>5.3</v>
      </c>
    </row>
    <row r="3" spans="1:127" x14ac:dyDescent="0.25">
      <c r="A3">
        <v>2</v>
      </c>
      <c r="B3">
        <v>7</v>
      </c>
      <c r="C3" t="s">
        <v>86</v>
      </c>
      <c r="D3">
        <v>2026</v>
      </c>
      <c r="E3" t="s">
        <v>153</v>
      </c>
      <c r="F3" t="s">
        <v>152</v>
      </c>
      <c r="G3" t="s">
        <v>94</v>
      </c>
      <c r="H3" t="s">
        <v>261</v>
      </c>
      <c r="I3">
        <v>4222825</v>
      </c>
      <c r="J3" t="s">
        <v>91</v>
      </c>
      <c r="K3">
        <v>2000</v>
      </c>
      <c r="L3" t="s">
        <v>88</v>
      </c>
      <c r="M3" t="s">
        <v>88</v>
      </c>
      <c r="N3" s="4" t="s">
        <v>89</v>
      </c>
      <c r="O3" t="s">
        <v>88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  <c r="U3" t="s">
        <v>88</v>
      </c>
      <c r="W3" t="s">
        <v>88</v>
      </c>
      <c r="AB3" t="s">
        <v>202</v>
      </c>
      <c r="AC3" t="s">
        <v>90</v>
      </c>
      <c r="AR3" t="s">
        <v>157</v>
      </c>
      <c r="AS3" t="s">
        <v>158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f t="shared" ref="CE3:CE63" si="0">SUM(AV3:CD3)</f>
        <v>4</v>
      </c>
      <c r="CF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f t="shared" ref="DL3:DL63" si="1">SUM(CQ3:DK3)</f>
        <v>0</v>
      </c>
      <c r="DN3" t="s">
        <v>203</v>
      </c>
      <c r="DO3" t="s">
        <v>197</v>
      </c>
      <c r="DT3">
        <v>12.2</v>
      </c>
      <c r="DU3">
        <v>1.9</v>
      </c>
      <c r="DV3">
        <v>6.18</v>
      </c>
      <c r="DW3">
        <v>6.5</v>
      </c>
    </row>
    <row r="4" spans="1:127" x14ac:dyDescent="0.25">
      <c r="A4">
        <v>3</v>
      </c>
      <c r="B4">
        <v>8</v>
      </c>
      <c r="C4" t="s">
        <v>86</v>
      </c>
      <c r="D4">
        <v>2026</v>
      </c>
      <c r="E4" t="s">
        <v>153</v>
      </c>
      <c r="F4" t="s">
        <v>152</v>
      </c>
      <c r="G4" t="s">
        <v>95</v>
      </c>
      <c r="H4" t="s">
        <v>264</v>
      </c>
      <c r="I4">
        <v>4048185</v>
      </c>
      <c r="J4" t="s">
        <v>87</v>
      </c>
      <c r="K4">
        <v>200</v>
      </c>
      <c r="L4" t="s">
        <v>88</v>
      </c>
      <c r="M4" t="s">
        <v>89</v>
      </c>
      <c r="N4" t="s">
        <v>88</v>
      </c>
      <c r="P4" t="s">
        <v>89</v>
      </c>
      <c r="Q4" t="s">
        <v>88</v>
      </c>
      <c r="R4" t="s">
        <v>88</v>
      </c>
      <c r="S4" t="s">
        <v>88</v>
      </c>
      <c r="T4" t="s">
        <v>88</v>
      </c>
      <c r="U4" t="s">
        <v>89</v>
      </c>
      <c r="W4" t="s">
        <v>88</v>
      </c>
      <c r="Z4" t="s">
        <v>209</v>
      </c>
      <c r="AD4" t="s">
        <v>157</v>
      </c>
      <c r="AE4" t="s">
        <v>197</v>
      </c>
      <c r="AF4" t="s">
        <v>204</v>
      </c>
      <c r="AG4" t="s">
        <v>205</v>
      </c>
      <c r="AP4" t="s">
        <v>206</v>
      </c>
      <c r="AQ4" t="s">
        <v>197</v>
      </c>
      <c r="AR4" t="s">
        <v>157</v>
      </c>
      <c r="AS4" t="s">
        <v>158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f t="shared" si="0"/>
        <v>6</v>
      </c>
      <c r="CF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f t="shared" si="1"/>
        <v>0</v>
      </c>
      <c r="DN4" t="s">
        <v>207</v>
      </c>
      <c r="DO4" t="s">
        <v>197</v>
      </c>
      <c r="DP4" t="s">
        <v>207</v>
      </c>
      <c r="DQ4" t="s">
        <v>197</v>
      </c>
      <c r="DT4">
        <v>10</v>
      </c>
      <c r="DV4">
        <v>3.4</v>
      </c>
      <c r="DW4">
        <v>3.7</v>
      </c>
    </row>
    <row r="5" spans="1:127" x14ac:dyDescent="0.25">
      <c r="A5">
        <v>4</v>
      </c>
      <c r="B5">
        <v>8</v>
      </c>
      <c r="C5" t="s">
        <v>86</v>
      </c>
      <c r="D5">
        <v>2026</v>
      </c>
      <c r="E5" t="s">
        <v>153</v>
      </c>
      <c r="F5" t="s">
        <v>152</v>
      </c>
      <c r="G5" t="s">
        <v>96</v>
      </c>
      <c r="H5" t="s">
        <v>265</v>
      </c>
      <c r="I5">
        <v>4277742</v>
      </c>
      <c r="J5" t="s">
        <v>87</v>
      </c>
      <c r="K5">
        <v>950</v>
      </c>
      <c r="L5" t="s">
        <v>88</v>
      </c>
      <c r="M5" t="s">
        <v>89</v>
      </c>
      <c r="O5" t="s">
        <v>88</v>
      </c>
      <c r="P5" t="s">
        <v>89</v>
      </c>
      <c r="Q5" t="s">
        <v>88</v>
      </c>
      <c r="R5" t="s">
        <v>88</v>
      </c>
      <c r="S5" t="s">
        <v>89</v>
      </c>
      <c r="T5" t="s">
        <v>89</v>
      </c>
      <c r="U5" t="s">
        <v>88</v>
      </c>
      <c r="W5" t="s">
        <v>88</v>
      </c>
      <c r="Z5" t="s">
        <v>209</v>
      </c>
      <c r="AA5" t="s">
        <v>305</v>
      </c>
      <c r="AB5" t="s">
        <v>157</v>
      </c>
      <c r="AC5" t="s">
        <v>197</v>
      </c>
      <c r="AF5" t="s">
        <v>204</v>
      </c>
      <c r="AG5" t="s">
        <v>205</v>
      </c>
      <c r="AL5" t="s">
        <v>204</v>
      </c>
      <c r="AM5" t="s">
        <v>205</v>
      </c>
      <c r="AN5" t="s">
        <v>204</v>
      </c>
      <c r="AO5" t="s">
        <v>205</v>
      </c>
      <c r="AR5" t="s">
        <v>157</v>
      </c>
      <c r="AS5" t="s">
        <v>158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2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f t="shared" si="0"/>
        <v>6</v>
      </c>
      <c r="CF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f t="shared" si="1"/>
        <v>0</v>
      </c>
      <c r="DN5" t="s">
        <v>196</v>
      </c>
      <c r="DO5" t="s">
        <v>197</v>
      </c>
      <c r="DP5" t="s">
        <v>208</v>
      </c>
      <c r="DQ5" t="s">
        <v>197</v>
      </c>
      <c r="DT5">
        <v>15.2</v>
      </c>
      <c r="DV5">
        <v>5</v>
      </c>
      <c r="DW5">
        <v>5.2</v>
      </c>
    </row>
    <row r="6" spans="1:127" x14ac:dyDescent="0.25">
      <c r="A6">
        <v>5</v>
      </c>
      <c r="B6">
        <v>9</v>
      </c>
      <c r="C6" t="s">
        <v>86</v>
      </c>
      <c r="D6">
        <v>2026</v>
      </c>
      <c r="E6" t="s">
        <v>153</v>
      </c>
      <c r="F6" t="s">
        <v>152</v>
      </c>
      <c r="G6" t="s">
        <v>97</v>
      </c>
      <c r="H6" t="s">
        <v>266</v>
      </c>
      <c r="I6">
        <v>4201261</v>
      </c>
      <c r="J6" t="s">
        <v>87</v>
      </c>
      <c r="K6">
        <v>850</v>
      </c>
      <c r="M6" t="s">
        <v>89</v>
      </c>
      <c r="N6" t="s">
        <v>89</v>
      </c>
      <c r="O6" t="s">
        <v>88</v>
      </c>
      <c r="P6" t="s">
        <v>89</v>
      </c>
      <c r="Q6" t="s">
        <v>88</v>
      </c>
      <c r="R6" t="s">
        <v>88</v>
      </c>
      <c r="S6" t="s">
        <v>88</v>
      </c>
      <c r="T6" t="s">
        <v>88</v>
      </c>
      <c r="U6" t="s">
        <v>88</v>
      </c>
      <c r="W6" t="s">
        <v>88</v>
      </c>
      <c r="X6" t="s">
        <v>157</v>
      </c>
      <c r="Y6" t="s">
        <v>158</v>
      </c>
      <c r="Z6" t="s">
        <v>209</v>
      </c>
      <c r="AA6" t="s">
        <v>305</v>
      </c>
      <c r="AB6" t="s">
        <v>209</v>
      </c>
      <c r="AC6" t="s">
        <v>90</v>
      </c>
      <c r="AF6" t="s">
        <v>204</v>
      </c>
      <c r="AG6" t="s">
        <v>205</v>
      </c>
      <c r="AR6" t="s">
        <v>157</v>
      </c>
      <c r="AS6" t="s">
        <v>158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f t="shared" si="0"/>
        <v>6</v>
      </c>
      <c r="CF6" s="6">
        <v>1</v>
      </c>
      <c r="CO6" t="s">
        <v>211</v>
      </c>
      <c r="CP6" t="s">
        <v>212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f t="shared" si="1"/>
        <v>0</v>
      </c>
      <c r="DN6" t="s">
        <v>196</v>
      </c>
      <c r="DO6" t="s">
        <v>197</v>
      </c>
      <c r="DP6" t="s">
        <v>207</v>
      </c>
      <c r="DQ6" t="s">
        <v>197</v>
      </c>
      <c r="DT6">
        <v>11.89</v>
      </c>
      <c r="DV6">
        <v>7.51</v>
      </c>
      <c r="DW6">
        <v>7.7</v>
      </c>
    </row>
    <row r="7" spans="1:127" x14ac:dyDescent="0.25">
      <c r="A7">
        <v>6</v>
      </c>
      <c r="B7">
        <v>9</v>
      </c>
      <c r="C7" t="s">
        <v>86</v>
      </c>
      <c r="D7">
        <v>2026</v>
      </c>
      <c r="E7" t="s">
        <v>153</v>
      </c>
      <c r="F7" t="s">
        <v>152</v>
      </c>
      <c r="G7" t="s">
        <v>98</v>
      </c>
      <c r="H7" t="s">
        <v>267</v>
      </c>
      <c r="I7">
        <v>4201338</v>
      </c>
      <c r="J7" t="s">
        <v>87</v>
      </c>
      <c r="K7">
        <v>350</v>
      </c>
      <c r="L7" t="s">
        <v>88</v>
      </c>
      <c r="M7" t="s">
        <v>88</v>
      </c>
      <c r="N7" t="s">
        <v>88</v>
      </c>
      <c r="O7" t="s">
        <v>88</v>
      </c>
      <c r="P7" t="s">
        <v>89</v>
      </c>
      <c r="Q7" t="s">
        <v>88</v>
      </c>
      <c r="R7" t="s">
        <v>88</v>
      </c>
      <c r="S7" t="s">
        <v>89</v>
      </c>
      <c r="T7" t="s">
        <v>89</v>
      </c>
      <c r="U7" t="s">
        <v>88</v>
      </c>
      <c r="W7" t="s">
        <v>88</v>
      </c>
      <c r="AF7" t="s">
        <v>204</v>
      </c>
      <c r="AG7" t="s">
        <v>205</v>
      </c>
      <c r="AL7" t="s">
        <v>204</v>
      </c>
      <c r="AM7" t="s">
        <v>205</v>
      </c>
      <c r="AN7" t="s">
        <v>204</v>
      </c>
      <c r="AO7" t="s">
        <v>205</v>
      </c>
      <c r="AR7" t="s">
        <v>157</v>
      </c>
      <c r="AS7" t="s">
        <v>158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f t="shared" si="0"/>
        <v>4</v>
      </c>
      <c r="CF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f t="shared" si="1"/>
        <v>0</v>
      </c>
      <c r="DN7" t="s">
        <v>213</v>
      </c>
      <c r="DO7" t="s">
        <v>197</v>
      </c>
      <c r="DT7">
        <v>9.4</v>
      </c>
      <c r="DV7">
        <v>5</v>
      </c>
      <c r="DW7">
        <v>5.3</v>
      </c>
    </row>
    <row r="8" spans="1:127" x14ac:dyDescent="0.25">
      <c r="A8">
        <v>7</v>
      </c>
      <c r="B8">
        <v>10</v>
      </c>
      <c r="C8" t="s">
        <v>86</v>
      </c>
      <c r="D8">
        <v>2026</v>
      </c>
      <c r="E8" t="s">
        <v>153</v>
      </c>
      <c r="F8" t="s">
        <v>152</v>
      </c>
      <c r="G8" t="s">
        <v>99</v>
      </c>
      <c r="H8" t="s">
        <v>268</v>
      </c>
      <c r="I8">
        <v>5397687</v>
      </c>
      <c r="J8" t="s">
        <v>87</v>
      </c>
      <c r="K8">
        <v>250</v>
      </c>
      <c r="M8" t="s">
        <v>88</v>
      </c>
      <c r="N8" t="s">
        <v>89</v>
      </c>
      <c r="O8" t="s">
        <v>88</v>
      </c>
      <c r="P8" t="s">
        <v>89</v>
      </c>
      <c r="Q8" t="s">
        <v>88</v>
      </c>
      <c r="R8" t="s">
        <v>88</v>
      </c>
      <c r="S8" t="s">
        <v>89</v>
      </c>
      <c r="T8" t="s">
        <v>89</v>
      </c>
      <c r="U8" t="s">
        <v>88</v>
      </c>
      <c r="W8" t="s">
        <v>88</v>
      </c>
      <c r="X8" t="s">
        <v>157</v>
      </c>
      <c r="Y8" t="s">
        <v>158</v>
      </c>
      <c r="AB8" t="s">
        <v>214</v>
      </c>
      <c r="AC8" t="s">
        <v>90</v>
      </c>
      <c r="AF8" t="s">
        <v>204</v>
      </c>
      <c r="AG8" t="s">
        <v>205</v>
      </c>
      <c r="AL8" t="s">
        <v>215</v>
      </c>
      <c r="AM8" t="s">
        <v>205</v>
      </c>
      <c r="AN8" t="s">
        <v>215</v>
      </c>
      <c r="AO8" t="s">
        <v>205</v>
      </c>
      <c r="AR8" t="s">
        <v>157</v>
      </c>
      <c r="AS8" t="s">
        <v>158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0</v>
      </c>
      <c r="CE8">
        <f t="shared" si="0"/>
        <v>4</v>
      </c>
      <c r="CF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f t="shared" si="1"/>
        <v>0</v>
      </c>
      <c r="DN8" t="s">
        <v>208</v>
      </c>
      <c r="DO8" t="s">
        <v>197</v>
      </c>
      <c r="DT8">
        <v>8.4</v>
      </c>
      <c r="DV8">
        <v>4.4000000000000004</v>
      </c>
      <c r="DW8">
        <v>5</v>
      </c>
    </row>
    <row r="9" spans="1:127" x14ac:dyDescent="0.25">
      <c r="A9">
        <v>8</v>
      </c>
      <c r="B9">
        <v>10</v>
      </c>
      <c r="C9" t="s">
        <v>86</v>
      </c>
      <c r="D9">
        <v>2026</v>
      </c>
      <c r="E9" t="s">
        <v>153</v>
      </c>
      <c r="F9" t="s">
        <v>152</v>
      </c>
      <c r="G9" t="s">
        <v>100</v>
      </c>
      <c r="H9" t="s">
        <v>269</v>
      </c>
      <c r="I9">
        <v>4270816</v>
      </c>
      <c r="J9" t="s">
        <v>87</v>
      </c>
      <c r="K9">
        <v>100</v>
      </c>
      <c r="L9" t="s">
        <v>89</v>
      </c>
      <c r="M9" t="s">
        <v>88</v>
      </c>
      <c r="P9" t="s">
        <v>89</v>
      </c>
      <c r="Q9" t="s">
        <v>89</v>
      </c>
      <c r="R9" t="s">
        <v>88</v>
      </c>
      <c r="S9" t="s">
        <v>89</v>
      </c>
      <c r="T9" t="s">
        <v>88</v>
      </c>
      <c r="W9" t="s">
        <v>88</v>
      </c>
      <c r="X9" t="s">
        <v>216</v>
      </c>
      <c r="Y9" t="s">
        <v>210</v>
      </c>
      <c r="AB9" t="s">
        <v>157</v>
      </c>
      <c r="AC9" t="s">
        <v>197</v>
      </c>
      <c r="AD9" s="2" t="s">
        <v>157</v>
      </c>
      <c r="AE9" s="2" t="s">
        <v>197</v>
      </c>
      <c r="AF9" t="s">
        <v>204</v>
      </c>
      <c r="AG9" t="s">
        <v>205</v>
      </c>
      <c r="AH9" t="s">
        <v>204</v>
      </c>
      <c r="AI9" t="s">
        <v>205</v>
      </c>
      <c r="AL9" t="s">
        <v>215</v>
      </c>
      <c r="AM9" t="s">
        <v>205</v>
      </c>
      <c r="AP9" t="s">
        <v>157</v>
      </c>
      <c r="AQ9" t="s">
        <v>197</v>
      </c>
      <c r="AR9" t="s">
        <v>157</v>
      </c>
      <c r="AS9" t="s">
        <v>158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f t="shared" si="0"/>
        <v>4</v>
      </c>
      <c r="CF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f t="shared" si="1"/>
        <v>0</v>
      </c>
      <c r="DN9" t="s">
        <v>207</v>
      </c>
      <c r="DO9" t="s">
        <v>197</v>
      </c>
      <c r="DT9">
        <v>7.2</v>
      </c>
      <c r="DU9">
        <v>6</v>
      </c>
      <c r="DV9">
        <v>3.3</v>
      </c>
      <c r="DW9">
        <v>3.6</v>
      </c>
    </row>
    <row r="10" spans="1:127" x14ac:dyDescent="0.25">
      <c r="A10">
        <v>9</v>
      </c>
      <c r="B10">
        <v>11</v>
      </c>
      <c r="C10" t="s">
        <v>86</v>
      </c>
      <c r="D10">
        <v>2026</v>
      </c>
      <c r="E10" t="s">
        <v>153</v>
      </c>
      <c r="F10" t="s">
        <v>152</v>
      </c>
      <c r="G10" t="s">
        <v>101</v>
      </c>
      <c r="H10" t="s">
        <v>270</v>
      </c>
      <c r="I10">
        <v>5462115</v>
      </c>
      <c r="J10" t="s">
        <v>92</v>
      </c>
      <c r="K10">
        <v>46</v>
      </c>
      <c r="L10" t="s">
        <v>88</v>
      </c>
      <c r="M10" t="s">
        <v>88</v>
      </c>
      <c r="N10" t="s">
        <v>89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V10" t="s">
        <v>88</v>
      </c>
      <c r="W10" t="s">
        <v>88</v>
      </c>
      <c r="AB10" t="s">
        <v>209</v>
      </c>
      <c r="AC10" t="s">
        <v>90</v>
      </c>
      <c r="AP10" t="s">
        <v>157</v>
      </c>
      <c r="AQ10" t="s">
        <v>197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2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f t="shared" si="0"/>
        <v>3</v>
      </c>
      <c r="CF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f t="shared" si="1"/>
        <v>0</v>
      </c>
      <c r="DP10" t="s">
        <v>218</v>
      </c>
      <c r="DQ10" t="s">
        <v>197</v>
      </c>
      <c r="DT10">
        <v>5</v>
      </c>
      <c r="DU10">
        <v>4</v>
      </c>
      <c r="DV10">
        <v>2.5</v>
      </c>
      <c r="DW10">
        <v>2.2000000000000002</v>
      </c>
    </row>
    <row r="11" spans="1:127" x14ac:dyDescent="0.25">
      <c r="A11">
        <v>10</v>
      </c>
      <c r="B11">
        <v>11</v>
      </c>
      <c r="C11" t="s">
        <v>86</v>
      </c>
      <c r="D11">
        <v>2026</v>
      </c>
      <c r="E11" t="s">
        <v>153</v>
      </c>
      <c r="F11" t="s">
        <v>152</v>
      </c>
      <c r="G11" t="s">
        <v>102</v>
      </c>
      <c r="H11" t="s">
        <v>271</v>
      </c>
      <c r="I11">
        <v>7040668</v>
      </c>
      <c r="J11" t="s">
        <v>92</v>
      </c>
      <c r="K11">
        <v>100</v>
      </c>
      <c r="L11" t="s">
        <v>88</v>
      </c>
      <c r="M11" t="s">
        <v>88</v>
      </c>
      <c r="N11" t="s">
        <v>89</v>
      </c>
      <c r="P11" t="s">
        <v>88</v>
      </c>
      <c r="R11" t="s">
        <v>88</v>
      </c>
      <c r="S11" t="s">
        <v>88</v>
      </c>
      <c r="T11" t="s">
        <v>88</v>
      </c>
      <c r="W11" t="s">
        <v>88</v>
      </c>
      <c r="AB11" t="s">
        <v>209</v>
      </c>
      <c r="AC11" t="s">
        <v>90</v>
      </c>
      <c r="AP11" t="s">
        <v>157</v>
      </c>
      <c r="AQ11" t="s">
        <v>197</v>
      </c>
      <c r="AR11" t="s">
        <v>157</v>
      </c>
      <c r="AS11" t="s">
        <v>158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f t="shared" si="0"/>
        <v>3</v>
      </c>
      <c r="CF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2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f t="shared" si="1"/>
        <v>2</v>
      </c>
      <c r="DT11">
        <v>7.55</v>
      </c>
      <c r="DU11">
        <v>5</v>
      </c>
      <c r="DV11">
        <v>3.15</v>
      </c>
      <c r="DW11">
        <v>3.55</v>
      </c>
    </row>
    <row r="12" spans="1:127" x14ac:dyDescent="0.25">
      <c r="A12">
        <v>11</v>
      </c>
      <c r="B12">
        <v>11</v>
      </c>
      <c r="C12" t="s">
        <v>86</v>
      </c>
      <c r="D12">
        <v>2026</v>
      </c>
      <c r="E12" t="s">
        <v>153</v>
      </c>
      <c r="F12" t="s">
        <v>152</v>
      </c>
      <c r="G12" t="s">
        <v>103</v>
      </c>
      <c r="H12" t="s">
        <v>272</v>
      </c>
      <c r="I12">
        <v>7009279</v>
      </c>
      <c r="J12" t="s">
        <v>92</v>
      </c>
      <c r="K12">
        <v>46</v>
      </c>
      <c r="L12" t="s">
        <v>88</v>
      </c>
      <c r="M12" t="s">
        <v>88</v>
      </c>
      <c r="N12" t="s">
        <v>88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  <c r="V12" t="s">
        <v>88</v>
      </c>
      <c r="W12" t="s">
        <v>88</v>
      </c>
      <c r="AD12" t="s">
        <v>157</v>
      </c>
      <c r="AP12" t="s">
        <v>157</v>
      </c>
      <c r="AQ12" t="s">
        <v>197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0</v>
      </c>
      <c r="CD12">
        <v>0</v>
      </c>
      <c r="CE12">
        <f t="shared" si="0"/>
        <v>3</v>
      </c>
      <c r="CF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f t="shared" si="1"/>
        <v>0</v>
      </c>
      <c r="DP12" t="s">
        <v>217</v>
      </c>
      <c r="DQ12" t="s">
        <v>197</v>
      </c>
      <c r="DT12">
        <v>5</v>
      </c>
      <c r="DU12">
        <v>4</v>
      </c>
      <c r="DV12">
        <v>2.7</v>
      </c>
      <c r="DW12">
        <v>3</v>
      </c>
    </row>
    <row r="13" spans="1:127" x14ac:dyDescent="0.25">
      <c r="A13">
        <v>12</v>
      </c>
      <c r="B13">
        <v>12</v>
      </c>
      <c r="C13" t="s">
        <v>86</v>
      </c>
      <c r="D13">
        <v>2026</v>
      </c>
      <c r="E13" t="s">
        <v>153</v>
      </c>
      <c r="F13" t="s">
        <v>152</v>
      </c>
      <c r="G13" t="s">
        <v>104</v>
      </c>
      <c r="H13" t="s">
        <v>249</v>
      </c>
      <c r="I13">
        <v>7085989</v>
      </c>
      <c r="J13" t="s">
        <v>92</v>
      </c>
      <c r="K13">
        <v>20</v>
      </c>
      <c r="L13" t="s">
        <v>88</v>
      </c>
      <c r="M13" t="s">
        <v>88</v>
      </c>
      <c r="N13" t="s">
        <v>88</v>
      </c>
      <c r="O13" t="s">
        <v>88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88</v>
      </c>
      <c r="V13" t="s">
        <v>88</v>
      </c>
      <c r="W13" t="s">
        <v>88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f t="shared" si="0"/>
        <v>3</v>
      </c>
      <c r="CF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2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f t="shared" si="1"/>
        <v>2</v>
      </c>
      <c r="DT13">
        <v>4.25</v>
      </c>
      <c r="DU13">
        <v>3.55</v>
      </c>
      <c r="DV13">
        <v>1.7</v>
      </c>
      <c r="DW13">
        <v>2</v>
      </c>
    </row>
    <row r="14" spans="1:127" x14ac:dyDescent="0.25">
      <c r="A14">
        <v>13</v>
      </c>
      <c r="B14">
        <v>12</v>
      </c>
      <c r="C14" t="s">
        <v>86</v>
      </c>
      <c r="D14">
        <v>2026</v>
      </c>
      <c r="E14" t="s">
        <v>153</v>
      </c>
      <c r="F14" t="s">
        <v>152</v>
      </c>
      <c r="G14" t="s">
        <v>105</v>
      </c>
      <c r="H14" t="s">
        <v>248</v>
      </c>
      <c r="I14">
        <v>7134925</v>
      </c>
      <c r="J14" t="s">
        <v>92</v>
      </c>
      <c r="K14">
        <v>100</v>
      </c>
      <c r="L14" t="s">
        <v>88</v>
      </c>
      <c r="M14" t="s">
        <v>88</v>
      </c>
      <c r="N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AD14" t="s">
        <v>157</v>
      </c>
      <c r="AV14">
        <v>0</v>
      </c>
      <c r="AW14">
        <v>0</v>
      </c>
      <c r="AX14">
        <v>0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f t="shared" si="0"/>
        <v>2</v>
      </c>
      <c r="CF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2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f t="shared" si="1"/>
        <v>2</v>
      </c>
      <c r="DT14">
        <v>10</v>
      </c>
      <c r="DU14">
        <v>5</v>
      </c>
      <c r="DV14">
        <v>1.3</v>
      </c>
      <c r="DW14">
        <v>2.6</v>
      </c>
    </row>
    <row r="15" spans="1:127" x14ac:dyDescent="0.25">
      <c r="A15">
        <v>14</v>
      </c>
      <c r="B15">
        <v>12</v>
      </c>
      <c r="C15" t="s">
        <v>86</v>
      </c>
      <c r="D15">
        <v>2026</v>
      </c>
      <c r="E15" t="s">
        <v>153</v>
      </c>
      <c r="F15" t="s">
        <v>152</v>
      </c>
      <c r="G15" t="s">
        <v>106</v>
      </c>
      <c r="H15" t="s">
        <v>247</v>
      </c>
      <c r="I15">
        <v>7257994</v>
      </c>
      <c r="J15" t="s">
        <v>92</v>
      </c>
      <c r="K15">
        <v>200</v>
      </c>
      <c r="L15" t="s">
        <v>88</v>
      </c>
      <c r="M15" t="s">
        <v>89</v>
      </c>
      <c r="N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88</v>
      </c>
      <c r="V15" t="s">
        <v>88</v>
      </c>
      <c r="W15" t="s">
        <v>88</v>
      </c>
      <c r="Z15" t="s">
        <v>209</v>
      </c>
      <c r="AA15" t="s">
        <v>205</v>
      </c>
      <c r="AD15" t="s">
        <v>157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f t="shared" si="0"/>
        <v>3</v>
      </c>
      <c r="CF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2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f t="shared" si="1"/>
        <v>2</v>
      </c>
      <c r="DT15">
        <v>6.35</v>
      </c>
      <c r="DV15">
        <v>4</v>
      </c>
      <c r="DW15">
        <v>5</v>
      </c>
    </row>
    <row r="16" spans="1:127" x14ac:dyDescent="0.25">
      <c r="A16">
        <v>15</v>
      </c>
      <c r="B16">
        <v>13</v>
      </c>
      <c r="C16" t="s">
        <v>86</v>
      </c>
      <c r="D16">
        <v>2026</v>
      </c>
      <c r="E16" t="s">
        <v>153</v>
      </c>
      <c r="F16" t="s">
        <v>152</v>
      </c>
      <c r="G16" t="s">
        <v>107</v>
      </c>
      <c r="H16" t="s">
        <v>273</v>
      </c>
      <c r="I16">
        <v>4254998</v>
      </c>
      <c r="J16" t="s">
        <v>87</v>
      </c>
      <c r="K16">
        <v>450</v>
      </c>
      <c r="L16" t="s">
        <v>88</v>
      </c>
      <c r="M16" t="s">
        <v>89</v>
      </c>
      <c r="N16" t="s">
        <v>89</v>
      </c>
      <c r="O16" t="s">
        <v>88</v>
      </c>
      <c r="P16" t="s">
        <v>89</v>
      </c>
      <c r="Q16" t="s">
        <v>88</v>
      </c>
      <c r="R16" t="s">
        <v>88</v>
      </c>
      <c r="S16" t="s">
        <v>89</v>
      </c>
      <c r="T16" t="s">
        <v>88</v>
      </c>
      <c r="U16" t="s">
        <v>89</v>
      </c>
      <c r="W16" t="s">
        <v>88</v>
      </c>
      <c r="Z16" t="s">
        <v>209</v>
      </c>
      <c r="AA16" t="s">
        <v>205</v>
      </c>
      <c r="AB16" t="s">
        <v>209</v>
      </c>
      <c r="AC16" t="s">
        <v>90</v>
      </c>
      <c r="AF16" t="s">
        <v>204</v>
      </c>
      <c r="AG16" t="s">
        <v>205</v>
      </c>
      <c r="AL16" t="s">
        <v>204</v>
      </c>
      <c r="AM16" t="s">
        <v>205</v>
      </c>
      <c r="AP16" t="s">
        <v>219</v>
      </c>
      <c r="AQ16" t="s">
        <v>210</v>
      </c>
      <c r="AR16" t="s">
        <v>157</v>
      </c>
      <c r="AS16" t="s">
        <v>158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f t="shared" si="0"/>
        <v>6</v>
      </c>
      <c r="CF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f t="shared" si="1"/>
        <v>0</v>
      </c>
      <c r="DN16" t="s">
        <v>213</v>
      </c>
      <c r="DO16" t="s">
        <v>197</v>
      </c>
      <c r="DP16" t="s">
        <v>213</v>
      </c>
      <c r="DQ16" t="s">
        <v>197</v>
      </c>
      <c r="DT16">
        <v>10.65</v>
      </c>
      <c r="DV16">
        <v>4.7</v>
      </c>
      <c r="DW16">
        <v>4.9800000000000004</v>
      </c>
    </row>
    <row r="17" spans="1:127" x14ac:dyDescent="0.25">
      <c r="A17">
        <v>16</v>
      </c>
      <c r="B17">
        <v>13</v>
      </c>
      <c r="C17" t="s">
        <v>86</v>
      </c>
      <c r="D17">
        <v>2026</v>
      </c>
      <c r="E17" t="s">
        <v>153</v>
      </c>
      <c r="F17" t="s">
        <v>152</v>
      </c>
      <c r="G17" t="s">
        <v>108</v>
      </c>
      <c r="H17" t="s">
        <v>274</v>
      </c>
      <c r="I17">
        <v>5625946</v>
      </c>
      <c r="J17" t="s">
        <v>87</v>
      </c>
      <c r="K17">
        <v>150</v>
      </c>
      <c r="L17" t="s">
        <v>88</v>
      </c>
      <c r="M17" t="s">
        <v>88</v>
      </c>
      <c r="N17" t="s">
        <v>88</v>
      </c>
      <c r="O17" t="s">
        <v>89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89</v>
      </c>
      <c r="V17" t="s">
        <v>88</v>
      </c>
      <c r="W17" t="s">
        <v>88</v>
      </c>
      <c r="AD17" t="s">
        <v>157</v>
      </c>
      <c r="AE17" t="s">
        <v>197</v>
      </c>
      <c r="AP17" t="s">
        <v>220</v>
      </c>
      <c r="AQ17" t="s">
        <v>210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4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f t="shared" si="0"/>
        <v>8</v>
      </c>
      <c r="CF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f t="shared" si="1"/>
        <v>1</v>
      </c>
      <c r="DN17" t="s">
        <v>208</v>
      </c>
      <c r="DO17" t="s">
        <v>197</v>
      </c>
      <c r="DT17">
        <v>6.6</v>
      </c>
      <c r="DV17">
        <v>3.84</v>
      </c>
      <c r="DW17">
        <v>6.56</v>
      </c>
    </row>
    <row r="18" spans="1:127" x14ac:dyDescent="0.25">
      <c r="A18">
        <v>17</v>
      </c>
      <c r="B18">
        <v>14</v>
      </c>
      <c r="C18" t="s">
        <v>86</v>
      </c>
      <c r="D18">
        <v>2026</v>
      </c>
      <c r="E18" t="s">
        <v>153</v>
      </c>
      <c r="F18" t="s">
        <v>152</v>
      </c>
      <c r="G18" s="3" t="s">
        <v>109</v>
      </c>
      <c r="H18" t="s">
        <v>275</v>
      </c>
      <c r="I18">
        <v>4040459</v>
      </c>
      <c r="J18" t="s">
        <v>87</v>
      </c>
      <c r="K18">
        <v>800</v>
      </c>
      <c r="L18" t="s">
        <v>89</v>
      </c>
      <c r="M18" t="s">
        <v>88</v>
      </c>
      <c r="N18" t="s">
        <v>89</v>
      </c>
      <c r="O18" t="s">
        <v>88</v>
      </c>
      <c r="P18" t="s">
        <v>89</v>
      </c>
      <c r="Q18" t="s">
        <v>88</v>
      </c>
      <c r="R18" t="s">
        <v>89</v>
      </c>
      <c r="S18" t="s">
        <v>89</v>
      </c>
      <c r="T18" t="s">
        <v>88</v>
      </c>
      <c r="U18" t="s">
        <v>88</v>
      </c>
      <c r="W18" t="s">
        <v>88</v>
      </c>
      <c r="X18" t="s">
        <v>154</v>
      </c>
      <c r="Y18" t="s">
        <v>155</v>
      </c>
      <c r="AB18" t="s">
        <v>209</v>
      </c>
      <c r="AC18" t="s">
        <v>90</v>
      </c>
      <c r="AF18" t="s">
        <v>204</v>
      </c>
      <c r="AG18" t="s">
        <v>205</v>
      </c>
      <c r="AJ18" t="s">
        <v>204</v>
      </c>
      <c r="AK18" t="s">
        <v>205</v>
      </c>
      <c r="AL18" t="s">
        <v>221</v>
      </c>
      <c r="AM18" t="s">
        <v>205</v>
      </c>
      <c r="AR18" t="s">
        <v>157</v>
      </c>
      <c r="AS18" t="s">
        <v>158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 s="7">
        <v>1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f t="shared" si="0"/>
        <v>4</v>
      </c>
      <c r="CF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f t="shared" si="1"/>
        <v>0</v>
      </c>
      <c r="DN18" t="s">
        <v>203</v>
      </c>
      <c r="DO18" t="s">
        <v>197</v>
      </c>
      <c r="DT18">
        <v>14.3</v>
      </c>
      <c r="DU18">
        <v>4.8</v>
      </c>
      <c r="DV18">
        <v>4.9000000000000004</v>
      </c>
      <c r="DW18">
        <v>10</v>
      </c>
    </row>
    <row r="19" spans="1:127" x14ac:dyDescent="0.25">
      <c r="A19">
        <v>18</v>
      </c>
      <c r="B19">
        <v>14</v>
      </c>
      <c r="C19" t="s">
        <v>86</v>
      </c>
      <c r="D19">
        <v>2026</v>
      </c>
      <c r="E19" t="s">
        <v>153</v>
      </c>
      <c r="F19" t="s">
        <v>152</v>
      </c>
      <c r="G19" t="s">
        <v>110</v>
      </c>
      <c r="H19" t="s">
        <v>253</v>
      </c>
      <c r="I19">
        <v>5625924</v>
      </c>
      <c r="J19" t="s">
        <v>87</v>
      </c>
      <c r="K19">
        <v>150</v>
      </c>
      <c r="L19" t="s">
        <v>88</v>
      </c>
      <c r="M19" t="s">
        <v>88</v>
      </c>
      <c r="O19" t="s">
        <v>88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88</v>
      </c>
      <c r="V19" t="s">
        <v>88</v>
      </c>
      <c r="W19" t="s">
        <v>88</v>
      </c>
      <c r="AB19" t="s">
        <v>157</v>
      </c>
      <c r="AC19" t="s">
        <v>197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0</v>
      </c>
      <c r="CC19">
        <v>0</v>
      </c>
      <c r="CD19">
        <v>0</v>
      </c>
      <c r="CE19">
        <f t="shared" si="0"/>
        <v>6</v>
      </c>
      <c r="CF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f t="shared" si="1"/>
        <v>1</v>
      </c>
      <c r="DP19" t="s">
        <v>157</v>
      </c>
      <c r="DQ19" t="s">
        <v>197</v>
      </c>
      <c r="DT19">
        <v>7.11</v>
      </c>
      <c r="DV19">
        <v>3.82</v>
      </c>
      <c r="DW19">
        <v>4.2</v>
      </c>
    </row>
    <row r="20" spans="1:127" x14ac:dyDescent="0.25">
      <c r="A20">
        <v>19</v>
      </c>
      <c r="B20">
        <v>15</v>
      </c>
      <c r="C20" t="s">
        <v>86</v>
      </c>
      <c r="D20">
        <v>2026</v>
      </c>
      <c r="E20" t="s">
        <v>153</v>
      </c>
      <c r="F20" t="s">
        <v>152</v>
      </c>
      <c r="G20" t="s">
        <v>111</v>
      </c>
      <c r="H20" t="s">
        <v>254</v>
      </c>
      <c r="I20">
        <v>6704614</v>
      </c>
      <c r="J20" t="s">
        <v>87</v>
      </c>
      <c r="K20">
        <v>100</v>
      </c>
      <c r="M20" t="s">
        <v>88</v>
      </c>
      <c r="O20" t="s">
        <v>88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88</v>
      </c>
      <c r="V20" t="s">
        <v>88</v>
      </c>
      <c r="W20" t="s">
        <v>88</v>
      </c>
      <c r="X20" t="s">
        <v>222</v>
      </c>
      <c r="Y20" t="s">
        <v>197</v>
      </c>
      <c r="AB20" t="s">
        <v>157</v>
      </c>
      <c r="AC20" t="s">
        <v>197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0</v>
      </c>
      <c r="CE20">
        <f t="shared" si="0"/>
        <v>4</v>
      </c>
      <c r="CF20">
        <v>0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f t="shared" si="1"/>
        <v>1</v>
      </c>
      <c r="DT20">
        <v>7.24</v>
      </c>
      <c r="DV20">
        <v>3.51</v>
      </c>
      <c r="DW20">
        <v>3.9</v>
      </c>
    </row>
    <row r="21" spans="1:127" x14ac:dyDescent="0.25">
      <c r="A21">
        <v>20</v>
      </c>
      <c r="B21">
        <v>15</v>
      </c>
      <c r="C21" t="s">
        <v>86</v>
      </c>
      <c r="D21">
        <v>2026</v>
      </c>
      <c r="E21" t="s">
        <v>153</v>
      </c>
      <c r="F21" t="s">
        <v>152</v>
      </c>
      <c r="G21" t="s">
        <v>112</v>
      </c>
      <c r="H21" t="s">
        <v>255</v>
      </c>
      <c r="I21">
        <v>5403381</v>
      </c>
      <c r="J21" t="s">
        <v>87</v>
      </c>
      <c r="K21">
        <v>50</v>
      </c>
      <c r="L21" t="s">
        <v>88</v>
      </c>
      <c r="M21" t="s">
        <v>89</v>
      </c>
      <c r="O21" t="s">
        <v>88</v>
      </c>
      <c r="P21" t="s">
        <v>89</v>
      </c>
      <c r="Q21" t="s">
        <v>88</v>
      </c>
      <c r="R21" t="s">
        <v>88</v>
      </c>
      <c r="S21" t="s">
        <v>89</v>
      </c>
      <c r="T21" t="s">
        <v>88</v>
      </c>
      <c r="U21" t="s">
        <v>89</v>
      </c>
      <c r="W21" t="s">
        <v>88</v>
      </c>
      <c r="Z21" t="s">
        <v>209</v>
      </c>
      <c r="AA21" t="s">
        <v>305</v>
      </c>
      <c r="AB21" t="s">
        <v>157</v>
      </c>
      <c r="AC21" t="s">
        <v>197</v>
      </c>
      <c r="AF21" t="s">
        <v>204</v>
      </c>
      <c r="AG21" t="s">
        <v>205</v>
      </c>
      <c r="AL21" t="s">
        <v>204</v>
      </c>
      <c r="AM21" t="s">
        <v>205</v>
      </c>
      <c r="AP21" t="s">
        <v>220</v>
      </c>
      <c r="AQ21" t="s">
        <v>210</v>
      </c>
      <c r="AR21" t="s">
        <v>157</v>
      </c>
      <c r="AS21" t="s">
        <v>158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f t="shared" si="0"/>
        <v>4</v>
      </c>
      <c r="CF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f t="shared" si="1"/>
        <v>0</v>
      </c>
      <c r="DN21" t="s">
        <v>213</v>
      </c>
      <c r="DO21" t="s">
        <v>197</v>
      </c>
      <c r="DT21">
        <v>4.3499999999999996</v>
      </c>
      <c r="DV21">
        <v>3.84</v>
      </c>
      <c r="DW21">
        <v>4.2</v>
      </c>
    </row>
    <row r="22" spans="1:127" x14ac:dyDescent="0.25">
      <c r="A22">
        <v>21</v>
      </c>
      <c r="B22">
        <v>16</v>
      </c>
      <c r="C22" t="s">
        <v>86</v>
      </c>
      <c r="D22">
        <v>2026</v>
      </c>
      <c r="E22" t="s">
        <v>153</v>
      </c>
      <c r="F22" t="s">
        <v>152</v>
      </c>
      <c r="G22" t="s">
        <v>113</v>
      </c>
      <c r="H22" t="s">
        <v>256</v>
      </c>
      <c r="I22">
        <v>4281156</v>
      </c>
      <c r="J22" t="s">
        <v>92</v>
      </c>
      <c r="K22">
        <v>100</v>
      </c>
      <c r="L22" t="s">
        <v>88</v>
      </c>
      <c r="M22" t="s">
        <v>88</v>
      </c>
      <c r="N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88</v>
      </c>
      <c r="W22" t="s">
        <v>88</v>
      </c>
      <c r="AD22" t="s">
        <v>157</v>
      </c>
      <c r="AR22" t="s">
        <v>157</v>
      </c>
      <c r="AS22" t="s">
        <v>158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f t="shared" si="0"/>
        <v>3</v>
      </c>
      <c r="CF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f t="shared" si="1"/>
        <v>1</v>
      </c>
      <c r="DT22">
        <v>6.6</v>
      </c>
      <c r="DU22">
        <v>5.4</v>
      </c>
      <c r="DV22">
        <v>3</v>
      </c>
      <c r="DW22">
        <v>3.4</v>
      </c>
    </row>
    <row r="23" spans="1:127" x14ac:dyDescent="0.25">
      <c r="A23">
        <v>22</v>
      </c>
      <c r="B23">
        <v>16</v>
      </c>
      <c r="C23" t="s">
        <v>86</v>
      </c>
      <c r="D23">
        <v>2026</v>
      </c>
      <c r="E23" t="s">
        <v>153</v>
      </c>
      <c r="F23" t="s">
        <v>152</v>
      </c>
      <c r="G23" t="s">
        <v>114</v>
      </c>
      <c r="H23" t="s">
        <v>257</v>
      </c>
      <c r="I23">
        <v>5576003</v>
      </c>
      <c r="J23" t="s">
        <v>92</v>
      </c>
      <c r="K23">
        <v>80</v>
      </c>
      <c r="L23" t="s">
        <v>88</v>
      </c>
      <c r="N23" t="s">
        <v>89</v>
      </c>
      <c r="P23" t="s">
        <v>89</v>
      </c>
      <c r="Q23" t="s">
        <v>88</v>
      </c>
      <c r="R23" t="s">
        <v>88</v>
      </c>
      <c r="S23" t="s">
        <v>89</v>
      </c>
      <c r="T23" t="s">
        <v>89</v>
      </c>
      <c r="V23" t="s">
        <v>88</v>
      </c>
      <c r="W23" t="s">
        <v>88</v>
      </c>
      <c r="Z23" t="s">
        <v>157</v>
      </c>
      <c r="AA23" t="s">
        <v>197</v>
      </c>
      <c r="AB23" t="s">
        <v>209</v>
      </c>
      <c r="AC23" t="s">
        <v>90</v>
      </c>
      <c r="AD23" t="s">
        <v>157</v>
      </c>
      <c r="AF23" t="s">
        <v>204</v>
      </c>
      <c r="AG23" t="s">
        <v>205</v>
      </c>
      <c r="AL23" t="s">
        <v>223</v>
      </c>
      <c r="AM23" t="s">
        <v>212</v>
      </c>
      <c r="AN23" t="s">
        <v>223</v>
      </c>
      <c r="AO23" t="s">
        <v>212</v>
      </c>
      <c r="AP23" t="s">
        <v>157</v>
      </c>
      <c r="AQ23" t="s">
        <v>197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f t="shared" si="0"/>
        <v>3</v>
      </c>
      <c r="CF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P23" t="s">
        <v>224</v>
      </c>
      <c r="DQ23" t="s">
        <v>197</v>
      </c>
      <c r="DT23">
        <v>8.4</v>
      </c>
      <c r="DU23">
        <v>4.9000000000000004</v>
      </c>
      <c r="DV23">
        <v>2.4</v>
      </c>
      <c r="DW23">
        <v>2.6</v>
      </c>
    </row>
    <row r="24" spans="1:127" x14ac:dyDescent="0.25">
      <c r="A24">
        <v>23</v>
      </c>
      <c r="B24">
        <v>17</v>
      </c>
      <c r="C24" t="s">
        <v>86</v>
      </c>
      <c r="D24">
        <v>2026</v>
      </c>
      <c r="E24" t="s">
        <v>153</v>
      </c>
      <c r="F24" t="s">
        <v>152</v>
      </c>
      <c r="G24" t="s">
        <v>115</v>
      </c>
      <c r="H24" t="s">
        <v>258</v>
      </c>
      <c r="I24">
        <v>5429373</v>
      </c>
      <c r="J24" t="s">
        <v>87</v>
      </c>
      <c r="K24">
        <v>250</v>
      </c>
      <c r="L24" t="s">
        <v>89</v>
      </c>
      <c r="M24" t="s">
        <v>89</v>
      </c>
      <c r="N24" t="s">
        <v>89</v>
      </c>
      <c r="O24" t="s">
        <v>88</v>
      </c>
      <c r="P24" t="s">
        <v>88</v>
      </c>
      <c r="Q24" t="s">
        <v>88</v>
      </c>
      <c r="R24" t="s">
        <v>88</v>
      </c>
      <c r="S24" t="s">
        <v>89</v>
      </c>
      <c r="T24" t="s">
        <v>88</v>
      </c>
      <c r="U24" t="s">
        <v>88</v>
      </c>
      <c r="W24" t="s">
        <v>88</v>
      </c>
      <c r="X24" t="s">
        <v>225</v>
      </c>
      <c r="Y24" t="s">
        <v>155</v>
      </c>
      <c r="Z24" t="s">
        <v>209</v>
      </c>
      <c r="AA24" t="s">
        <v>305</v>
      </c>
      <c r="AB24" t="s">
        <v>209</v>
      </c>
      <c r="AC24" t="s">
        <v>90</v>
      </c>
      <c r="AL24" t="s">
        <v>204</v>
      </c>
      <c r="AM24" t="s">
        <v>205</v>
      </c>
      <c r="AR24" t="s">
        <v>157</v>
      </c>
      <c r="AS24" t="s">
        <v>158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f t="shared" si="0"/>
        <v>4</v>
      </c>
      <c r="CF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f t="shared" si="1"/>
        <v>1</v>
      </c>
      <c r="DT24">
        <v>8</v>
      </c>
      <c r="DV24">
        <v>4.8</v>
      </c>
      <c r="DW24">
        <v>5</v>
      </c>
    </row>
    <row r="25" spans="1:127" x14ac:dyDescent="0.25">
      <c r="A25">
        <v>24</v>
      </c>
      <c r="B25">
        <v>17</v>
      </c>
      <c r="C25" t="s">
        <v>86</v>
      </c>
      <c r="D25">
        <v>2026</v>
      </c>
      <c r="E25" t="s">
        <v>153</v>
      </c>
      <c r="F25" t="s">
        <v>152</v>
      </c>
      <c r="G25" t="s">
        <v>116</v>
      </c>
      <c r="H25" t="s">
        <v>259</v>
      </c>
      <c r="I25" s="3">
        <v>7343581</v>
      </c>
      <c r="J25" t="s">
        <v>87</v>
      </c>
      <c r="K25">
        <v>800</v>
      </c>
      <c r="L25" t="s">
        <v>88</v>
      </c>
      <c r="M25" t="s">
        <v>88</v>
      </c>
      <c r="N25" t="s">
        <v>88</v>
      </c>
      <c r="O25" t="s">
        <v>88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88</v>
      </c>
      <c r="V25" t="s">
        <v>88</v>
      </c>
      <c r="W25" t="s">
        <v>88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f t="shared" si="0"/>
        <v>4</v>
      </c>
      <c r="CF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f t="shared" si="1"/>
        <v>1</v>
      </c>
      <c r="DT25">
        <v>11.96</v>
      </c>
      <c r="DV25">
        <v>7.2</v>
      </c>
      <c r="DW25">
        <v>7.82</v>
      </c>
    </row>
    <row r="26" spans="1:127" x14ac:dyDescent="0.25">
      <c r="A26">
        <v>25</v>
      </c>
      <c r="B26">
        <v>18</v>
      </c>
      <c r="C26" t="s">
        <v>86</v>
      </c>
      <c r="D26">
        <v>2026</v>
      </c>
      <c r="E26" t="s">
        <v>153</v>
      </c>
      <c r="F26" t="s">
        <v>152</v>
      </c>
      <c r="G26" t="s">
        <v>117</v>
      </c>
      <c r="H26" t="s">
        <v>276</v>
      </c>
      <c r="I26">
        <v>5629480</v>
      </c>
      <c r="J26" t="s">
        <v>87</v>
      </c>
      <c r="K26">
        <v>150</v>
      </c>
      <c r="L26" t="s">
        <v>88</v>
      </c>
      <c r="M26" t="s">
        <v>88</v>
      </c>
      <c r="N26" t="s">
        <v>88</v>
      </c>
      <c r="O26" t="s">
        <v>88</v>
      </c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88</v>
      </c>
      <c r="V26" t="s">
        <v>88</v>
      </c>
      <c r="W26" t="s">
        <v>88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0</v>
      </c>
      <c r="CE26">
        <f t="shared" si="0"/>
        <v>6</v>
      </c>
      <c r="CF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f t="shared" si="1"/>
        <v>2</v>
      </c>
      <c r="DT26">
        <v>7.1</v>
      </c>
      <c r="DV26">
        <v>3.8</v>
      </c>
      <c r="DW26">
        <v>4.2</v>
      </c>
    </row>
    <row r="27" spans="1:127" ht="15.75" customHeight="1" x14ac:dyDescent="0.25">
      <c r="A27">
        <v>26</v>
      </c>
      <c r="B27">
        <v>18</v>
      </c>
      <c r="C27" t="s">
        <v>86</v>
      </c>
      <c r="D27">
        <v>2026</v>
      </c>
      <c r="E27" t="s">
        <v>153</v>
      </c>
      <c r="F27" t="s">
        <v>152</v>
      </c>
      <c r="G27" t="s">
        <v>118</v>
      </c>
      <c r="H27" t="s">
        <v>260</v>
      </c>
      <c r="I27">
        <v>4025597</v>
      </c>
      <c r="J27" t="s">
        <v>91</v>
      </c>
      <c r="K27">
        <v>1000</v>
      </c>
      <c r="L27" t="s">
        <v>88</v>
      </c>
      <c r="M27" t="s">
        <v>88</v>
      </c>
      <c r="N27" t="s">
        <v>89</v>
      </c>
      <c r="O27" t="s">
        <v>88</v>
      </c>
      <c r="P27" t="s">
        <v>88</v>
      </c>
      <c r="Q27" t="s">
        <v>88</v>
      </c>
      <c r="R27" t="s">
        <v>88</v>
      </c>
      <c r="S27" t="s">
        <v>89</v>
      </c>
      <c r="T27" t="s">
        <v>88</v>
      </c>
      <c r="U27" t="s">
        <v>89</v>
      </c>
      <c r="W27" t="s">
        <v>88</v>
      </c>
      <c r="AB27" t="s">
        <v>209</v>
      </c>
      <c r="AC27" t="s">
        <v>90</v>
      </c>
      <c r="AL27" t="s">
        <v>204</v>
      </c>
      <c r="AM27" t="s">
        <v>205</v>
      </c>
      <c r="AP27" t="s">
        <v>156</v>
      </c>
      <c r="AQ27" t="s">
        <v>210</v>
      </c>
      <c r="AR27" t="s">
        <v>157</v>
      </c>
      <c r="AS27" t="s">
        <v>158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f t="shared" si="0"/>
        <v>4</v>
      </c>
      <c r="CF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N27" t="s">
        <v>226</v>
      </c>
      <c r="DO27" t="s">
        <v>197</v>
      </c>
      <c r="DT27">
        <v>10.5</v>
      </c>
      <c r="DU27">
        <v>1.9</v>
      </c>
      <c r="DV27">
        <v>7.6</v>
      </c>
      <c r="DW27">
        <v>7.9</v>
      </c>
    </row>
    <row r="28" spans="1:127" x14ac:dyDescent="0.25">
      <c r="A28">
        <v>27</v>
      </c>
      <c r="B28">
        <v>19</v>
      </c>
      <c r="C28" t="s">
        <v>86</v>
      </c>
      <c r="D28">
        <v>2026</v>
      </c>
      <c r="E28" t="s">
        <v>153</v>
      </c>
      <c r="F28" t="s">
        <v>152</v>
      </c>
      <c r="G28" t="s">
        <v>119</v>
      </c>
      <c r="H28" t="s">
        <v>276</v>
      </c>
      <c r="I28">
        <v>5626438</v>
      </c>
      <c r="J28" t="s">
        <v>87</v>
      </c>
      <c r="K28">
        <v>150</v>
      </c>
      <c r="L28" t="s">
        <v>88</v>
      </c>
      <c r="M28" t="s">
        <v>88</v>
      </c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89</v>
      </c>
      <c r="V28" t="s">
        <v>88</v>
      </c>
      <c r="W28" t="s">
        <v>88</v>
      </c>
      <c r="AB28" t="s">
        <v>157</v>
      </c>
      <c r="AC28" t="s">
        <v>197</v>
      </c>
      <c r="AD28" t="s">
        <v>157</v>
      </c>
      <c r="AE28" t="s">
        <v>197</v>
      </c>
      <c r="AP28" t="s">
        <v>206</v>
      </c>
      <c r="AQ28" t="s">
        <v>197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0</v>
      </c>
      <c r="CE28">
        <f t="shared" si="0"/>
        <v>6</v>
      </c>
      <c r="CF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N28" t="s">
        <v>207</v>
      </c>
      <c r="DO28" t="s">
        <v>197</v>
      </c>
      <c r="DP28" t="s">
        <v>207</v>
      </c>
      <c r="DQ28" t="s">
        <v>197</v>
      </c>
      <c r="DT28">
        <v>7.1</v>
      </c>
      <c r="DV28">
        <v>3.8</v>
      </c>
      <c r="DW28">
        <v>4.2</v>
      </c>
    </row>
    <row r="29" spans="1:127" x14ac:dyDescent="0.25">
      <c r="A29">
        <v>28</v>
      </c>
      <c r="B29">
        <v>19</v>
      </c>
      <c r="C29" t="s">
        <v>86</v>
      </c>
      <c r="D29">
        <v>2026</v>
      </c>
      <c r="E29" t="s">
        <v>153</v>
      </c>
      <c r="F29" t="s">
        <v>152</v>
      </c>
      <c r="G29" t="s">
        <v>120</v>
      </c>
      <c r="H29" t="s">
        <v>277</v>
      </c>
      <c r="I29">
        <v>5461691</v>
      </c>
      <c r="J29" t="s">
        <v>91</v>
      </c>
      <c r="K29">
        <v>500</v>
      </c>
      <c r="L29" t="s">
        <v>88</v>
      </c>
      <c r="M29" t="s">
        <v>88</v>
      </c>
      <c r="N29" t="s">
        <v>88</v>
      </c>
      <c r="O29" t="s">
        <v>89</v>
      </c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88</v>
      </c>
      <c r="W29" t="s">
        <v>88</v>
      </c>
      <c r="AD29" t="s">
        <v>156</v>
      </c>
      <c r="AE29" t="s">
        <v>210</v>
      </c>
      <c r="AR29" t="s">
        <v>157</v>
      </c>
      <c r="AS29" t="s">
        <v>158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f t="shared" si="0"/>
        <v>4</v>
      </c>
      <c r="CF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f t="shared" si="1"/>
        <v>0</v>
      </c>
      <c r="DN29" t="s">
        <v>213</v>
      </c>
      <c r="DO29" t="s">
        <v>197</v>
      </c>
      <c r="DT29">
        <v>9.7799999999999994</v>
      </c>
      <c r="DU29">
        <v>1.9</v>
      </c>
      <c r="DV29">
        <v>5</v>
      </c>
      <c r="DW29">
        <v>5.18</v>
      </c>
    </row>
    <row r="30" spans="1:127" x14ac:dyDescent="0.25">
      <c r="A30">
        <v>29</v>
      </c>
      <c r="B30">
        <v>20</v>
      </c>
      <c r="C30" t="s">
        <v>86</v>
      </c>
      <c r="D30">
        <v>2026</v>
      </c>
      <c r="E30" t="s">
        <v>153</v>
      </c>
      <c r="F30" t="s">
        <v>152</v>
      </c>
      <c r="G30" t="s">
        <v>121</v>
      </c>
      <c r="H30" t="s">
        <v>262</v>
      </c>
      <c r="I30">
        <v>5022269</v>
      </c>
      <c r="J30" t="s">
        <v>87</v>
      </c>
      <c r="K30">
        <v>1200</v>
      </c>
      <c r="L30" t="s">
        <v>89</v>
      </c>
      <c r="M30" t="s">
        <v>88</v>
      </c>
      <c r="N30" t="s">
        <v>89</v>
      </c>
      <c r="O30" t="s">
        <v>88</v>
      </c>
      <c r="P30" t="s">
        <v>89</v>
      </c>
      <c r="Q30" t="s">
        <v>88</v>
      </c>
      <c r="R30" t="s">
        <v>88</v>
      </c>
      <c r="S30" t="s">
        <v>89</v>
      </c>
      <c r="T30" t="s">
        <v>89</v>
      </c>
      <c r="U30" t="s">
        <v>88</v>
      </c>
      <c r="W30" t="s">
        <v>88</v>
      </c>
      <c r="X30" t="s">
        <v>154</v>
      </c>
      <c r="Y30" t="s">
        <v>155</v>
      </c>
      <c r="AB30" t="s">
        <v>209</v>
      </c>
      <c r="AC30" t="s">
        <v>90</v>
      </c>
      <c r="AF30" t="s">
        <v>204</v>
      </c>
      <c r="AG30" t="s">
        <v>205</v>
      </c>
      <c r="AL30" t="s">
        <v>227</v>
      </c>
      <c r="AM30" t="s">
        <v>228</v>
      </c>
      <c r="AN30" t="s">
        <v>227</v>
      </c>
      <c r="AO30" t="s">
        <v>228</v>
      </c>
      <c r="AR30" t="s">
        <v>157</v>
      </c>
      <c r="AS30" t="s">
        <v>158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f t="shared" si="0"/>
        <v>4</v>
      </c>
      <c r="CF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N30" t="s">
        <v>229</v>
      </c>
      <c r="DO30" t="s">
        <v>197</v>
      </c>
      <c r="DT30">
        <v>15.8</v>
      </c>
      <c r="DV30">
        <v>6.5</v>
      </c>
      <c r="DW30">
        <v>6.8</v>
      </c>
    </row>
    <row r="31" spans="1:127" x14ac:dyDescent="0.25">
      <c r="A31">
        <v>30</v>
      </c>
      <c r="B31">
        <v>20</v>
      </c>
      <c r="C31" t="s">
        <v>86</v>
      </c>
      <c r="D31">
        <v>2026</v>
      </c>
      <c r="E31" t="s">
        <v>153</v>
      </c>
      <c r="F31" t="s">
        <v>152</v>
      </c>
      <c r="G31" t="s">
        <v>122</v>
      </c>
      <c r="H31" t="s">
        <v>278</v>
      </c>
      <c r="I31">
        <v>5365979</v>
      </c>
      <c r="J31" t="s">
        <v>92</v>
      </c>
      <c r="K31">
        <v>150</v>
      </c>
      <c r="L31" t="s">
        <v>88</v>
      </c>
      <c r="M31" t="s">
        <v>88</v>
      </c>
      <c r="N31" t="s">
        <v>89</v>
      </c>
      <c r="O31" t="s">
        <v>88</v>
      </c>
      <c r="P31" t="s">
        <v>89</v>
      </c>
      <c r="Q31" t="s">
        <v>88</v>
      </c>
      <c r="R31" t="s">
        <v>88</v>
      </c>
      <c r="S31" t="s">
        <v>88</v>
      </c>
      <c r="V31" t="s">
        <v>88</v>
      </c>
      <c r="W31" t="s">
        <v>88</v>
      </c>
      <c r="AB31" t="s">
        <v>230</v>
      </c>
      <c r="AC31" t="s">
        <v>90</v>
      </c>
      <c r="AF31" t="s">
        <v>204</v>
      </c>
      <c r="AG31" t="s">
        <v>205</v>
      </c>
      <c r="AP31" t="s">
        <v>157</v>
      </c>
      <c r="AQ31" t="s">
        <v>158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f t="shared" si="0"/>
        <v>3</v>
      </c>
      <c r="CF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P31" t="s">
        <v>231</v>
      </c>
      <c r="DQ31" t="s">
        <v>197</v>
      </c>
      <c r="DT31">
        <v>8</v>
      </c>
      <c r="DU31">
        <v>5</v>
      </c>
      <c r="DV31">
        <v>3</v>
      </c>
      <c r="DW31">
        <v>3.3</v>
      </c>
    </row>
    <row r="32" spans="1:127" x14ac:dyDescent="0.25">
      <c r="A32">
        <v>31</v>
      </c>
      <c r="B32">
        <v>20</v>
      </c>
      <c r="C32" t="s">
        <v>86</v>
      </c>
      <c r="D32">
        <v>2026</v>
      </c>
      <c r="E32" t="s">
        <v>153</v>
      </c>
      <c r="F32" t="s">
        <v>152</v>
      </c>
      <c r="G32" t="s">
        <v>123</v>
      </c>
      <c r="H32" t="s">
        <v>279</v>
      </c>
      <c r="I32">
        <v>4228702</v>
      </c>
      <c r="J32" t="s">
        <v>87</v>
      </c>
      <c r="K32">
        <v>1200</v>
      </c>
      <c r="L32" t="s">
        <v>88</v>
      </c>
      <c r="M32" t="s">
        <v>89</v>
      </c>
      <c r="N32" t="s">
        <v>89</v>
      </c>
      <c r="O32" t="s">
        <v>88</v>
      </c>
      <c r="P32" t="s">
        <v>89</v>
      </c>
      <c r="Q32" t="s">
        <v>88</v>
      </c>
      <c r="R32" t="s">
        <v>88</v>
      </c>
      <c r="S32" t="s">
        <v>88</v>
      </c>
      <c r="T32" t="s">
        <v>88</v>
      </c>
      <c r="U32" t="s">
        <v>89</v>
      </c>
      <c r="W32" t="s">
        <v>88</v>
      </c>
      <c r="Z32" t="s">
        <v>232</v>
      </c>
      <c r="AA32" t="s">
        <v>305</v>
      </c>
      <c r="AB32" t="s">
        <v>209</v>
      </c>
      <c r="AC32" t="s">
        <v>90</v>
      </c>
      <c r="AF32" t="s">
        <v>204</v>
      </c>
      <c r="AG32" t="s">
        <v>205</v>
      </c>
      <c r="AP32" t="s">
        <v>206</v>
      </c>
      <c r="AQ32" t="s">
        <v>155</v>
      </c>
      <c r="AR32" t="s">
        <v>157</v>
      </c>
      <c r="AS32" t="s">
        <v>158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f t="shared" si="0"/>
        <v>4</v>
      </c>
      <c r="CF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N32" t="s">
        <v>196</v>
      </c>
      <c r="DO32" t="s">
        <v>197</v>
      </c>
      <c r="DT32">
        <v>17</v>
      </c>
      <c r="DV32">
        <v>6</v>
      </c>
      <c r="DW32">
        <v>7.3</v>
      </c>
    </row>
    <row r="33" spans="1:127" x14ac:dyDescent="0.25">
      <c r="A33">
        <v>32</v>
      </c>
      <c r="B33">
        <v>21</v>
      </c>
      <c r="C33" t="s">
        <v>86</v>
      </c>
      <c r="D33">
        <v>2026</v>
      </c>
      <c r="E33" t="s">
        <v>153</v>
      </c>
      <c r="F33" t="s">
        <v>152</v>
      </c>
      <c r="G33" t="s">
        <v>124</v>
      </c>
      <c r="H33" t="s">
        <v>280</v>
      </c>
      <c r="I33">
        <v>4050934</v>
      </c>
      <c r="J33" t="s">
        <v>92</v>
      </c>
      <c r="K33">
        <v>75</v>
      </c>
      <c r="L33" t="s">
        <v>88</v>
      </c>
      <c r="M33" t="s">
        <v>88</v>
      </c>
      <c r="N33" t="s">
        <v>89</v>
      </c>
      <c r="P33" t="s">
        <v>89</v>
      </c>
      <c r="R33" t="s">
        <v>88</v>
      </c>
      <c r="S33" t="s">
        <v>88</v>
      </c>
      <c r="T33" t="s">
        <v>88</v>
      </c>
      <c r="U33" t="s">
        <v>88</v>
      </c>
      <c r="V33" t="s">
        <v>88</v>
      </c>
      <c r="W33" t="s">
        <v>88</v>
      </c>
      <c r="AB33" t="s">
        <v>209</v>
      </c>
      <c r="AC33" t="s">
        <v>90</v>
      </c>
      <c r="AD33" t="s">
        <v>157</v>
      </c>
      <c r="AF33" t="s">
        <v>204</v>
      </c>
      <c r="AG33" t="s">
        <v>205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2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f t="shared" si="0"/>
        <v>3</v>
      </c>
      <c r="CF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f t="shared" si="1"/>
        <v>1</v>
      </c>
      <c r="DP33" t="s">
        <v>207</v>
      </c>
      <c r="DQ33" t="s">
        <v>197</v>
      </c>
      <c r="DT33">
        <v>4.95</v>
      </c>
      <c r="DU33">
        <v>5</v>
      </c>
      <c r="DV33">
        <v>2.9</v>
      </c>
      <c r="DW33">
        <v>2.2999999999999998</v>
      </c>
    </row>
    <row r="34" spans="1:127" x14ac:dyDescent="0.25">
      <c r="A34">
        <v>33</v>
      </c>
      <c r="B34">
        <v>21</v>
      </c>
      <c r="C34" t="s">
        <v>86</v>
      </c>
      <c r="D34">
        <v>2026</v>
      </c>
      <c r="E34" t="s">
        <v>153</v>
      </c>
      <c r="F34" t="s">
        <v>152</v>
      </c>
      <c r="G34" t="s">
        <v>125</v>
      </c>
      <c r="H34" t="s">
        <v>281</v>
      </c>
      <c r="I34">
        <v>5087028</v>
      </c>
      <c r="J34" t="s">
        <v>87</v>
      </c>
      <c r="K34">
        <v>600</v>
      </c>
      <c r="L34" t="s">
        <v>89</v>
      </c>
      <c r="M34" t="s">
        <v>88</v>
      </c>
      <c r="N34" t="s">
        <v>88</v>
      </c>
      <c r="O34" t="s">
        <v>88</v>
      </c>
      <c r="P34" t="s">
        <v>89</v>
      </c>
      <c r="Q34" t="s">
        <v>88</v>
      </c>
      <c r="R34" t="s">
        <v>88</v>
      </c>
      <c r="S34" t="s">
        <v>88</v>
      </c>
      <c r="T34" t="s">
        <v>88</v>
      </c>
      <c r="U34" t="s">
        <v>89</v>
      </c>
      <c r="V34" t="s">
        <v>89</v>
      </c>
      <c r="W34" t="s">
        <v>88</v>
      </c>
      <c r="X34" t="s">
        <v>233</v>
      </c>
      <c r="Y34" t="s">
        <v>155</v>
      </c>
      <c r="AF34" t="s">
        <v>204</v>
      </c>
      <c r="AG34" t="s">
        <v>205</v>
      </c>
      <c r="AP34" t="s">
        <v>234</v>
      </c>
      <c r="AQ34" t="s">
        <v>235</v>
      </c>
      <c r="AR34" t="s">
        <v>236</v>
      </c>
      <c r="AS34" t="s">
        <v>205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f t="shared" si="0"/>
        <v>4</v>
      </c>
      <c r="CF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f t="shared" si="1"/>
        <v>0</v>
      </c>
      <c r="DN34" t="s">
        <v>207</v>
      </c>
      <c r="DO34" t="s">
        <v>155</v>
      </c>
      <c r="DT34">
        <v>11</v>
      </c>
      <c r="DV34">
        <v>4</v>
      </c>
      <c r="DW34">
        <v>4.2</v>
      </c>
    </row>
    <row r="35" spans="1:127" x14ac:dyDescent="0.25">
      <c r="A35">
        <v>34</v>
      </c>
      <c r="B35">
        <v>22</v>
      </c>
      <c r="C35" t="s">
        <v>86</v>
      </c>
      <c r="D35">
        <v>2026</v>
      </c>
      <c r="E35" t="s">
        <v>153</v>
      </c>
      <c r="F35" t="s">
        <v>152</v>
      </c>
      <c r="G35" t="s">
        <v>112</v>
      </c>
      <c r="H35" t="s">
        <v>282</v>
      </c>
      <c r="I35">
        <v>6208067</v>
      </c>
      <c r="J35" t="s">
        <v>87</v>
      </c>
      <c r="K35">
        <v>350</v>
      </c>
      <c r="L35" t="s">
        <v>88</v>
      </c>
      <c r="M35" t="s">
        <v>88</v>
      </c>
      <c r="N35" t="s">
        <v>89</v>
      </c>
      <c r="O35" t="s">
        <v>88</v>
      </c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88</v>
      </c>
      <c r="V35" t="s">
        <v>88</v>
      </c>
      <c r="W35" t="s">
        <v>88</v>
      </c>
      <c r="AB35" t="s">
        <v>209</v>
      </c>
      <c r="AC35" t="s">
        <v>90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>
        <f t="shared" si="0"/>
        <v>6</v>
      </c>
      <c r="CF35">
        <v>0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f t="shared" si="1"/>
        <v>2</v>
      </c>
      <c r="DT35">
        <v>9.9</v>
      </c>
      <c r="DV35">
        <v>4.8</v>
      </c>
      <c r="DW35">
        <v>5</v>
      </c>
    </row>
    <row r="36" spans="1:127" x14ac:dyDescent="0.25">
      <c r="A36">
        <v>35</v>
      </c>
      <c r="B36">
        <v>22</v>
      </c>
      <c r="C36" t="s">
        <v>86</v>
      </c>
      <c r="D36">
        <v>2026</v>
      </c>
      <c r="E36" t="s">
        <v>153</v>
      </c>
      <c r="F36" t="s">
        <v>152</v>
      </c>
      <c r="G36" t="s">
        <v>126</v>
      </c>
      <c r="H36" t="s">
        <v>283</v>
      </c>
      <c r="I36">
        <v>5926795</v>
      </c>
      <c r="J36" t="s">
        <v>87</v>
      </c>
      <c r="K36">
        <v>1750</v>
      </c>
      <c r="L36" t="s">
        <v>88</v>
      </c>
      <c r="M36" t="s">
        <v>88</v>
      </c>
      <c r="N36" t="s">
        <v>89</v>
      </c>
      <c r="O36" t="s">
        <v>88</v>
      </c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88</v>
      </c>
      <c r="V36" t="s">
        <v>88</v>
      </c>
      <c r="W36" t="s">
        <v>88</v>
      </c>
      <c r="AB36" t="s">
        <v>209</v>
      </c>
      <c r="AC36" t="s">
        <v>90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s="7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 s="7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 s="7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 s="7">
        <v>1</v>
      </c>
      <c r="CE36">
        <f t="shared" si="0"/>
        <v>4</v>
      </c>
      <c r="CF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f t="shared" si="1"/>
        <v>1</v>
      </c>
      <c r="DP36" t="s">
        <v>213</v>
      </c>
      <c r="DQ36" t="s">
        <v>197</v>
      </c>
      <c r="DT36">
        <v>16.8</v>
      </c>
      <c r="DV36">
        <v>8</v>
      </c>
      <c r="DW36">
        <v>8.4</v>
      </c>
    </row>
    <row r="37" spans="1:127" x14ac:dyDescent="0.25">
      <c r="A37">
        <v>36</v>
      </c>
      <c r="B37">
        <v>23</v>
      </c>
      <c r="C37" t="s">
        <v>86</v>
      </c>
      <c r="D37">
        <v>2026</v>
      </c>
      <c r="E37" t="s">
        <v>153</v>
      </c>
      <c r="F37" t="s">
        <v>152</v>
      </c>
      <c r="G37" t="s">
        <v>126</v>
      </c>
      <c r="H37" t="s">
        <v>284</v>
      </c>
      <c r="I37">
        <v>6662979</v>
      </c>
      <c r="J37" t="s">
        <v>87</v>
      </c>
      <c r="K37">
        <v>1200</v>
      </c>
      <c r="L37" t="s">
        <v>88</v>
      </c>
      <c r="M37" t="s">
        <v>88</v>
      </c>
      <c r="N37" t="s">
        <v>88</v>
      </c>
      <c r="O37" t="s">
        <v>88</v>
      </c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88</v>
      </c>
      <c r="V37" t="s">
        <v>88</v>
      </c>
      <c r="W37" t="s">
        <v>88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6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 s="7">
        <v>1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f t="shared" si="1"/>
        <v>2</v>
      </c>
      <c r="DT37">
        <v>15</v>
      </c>
      <c r="DV37">
        <v>6</v>
      </c>
      <c r="DW37">
        <v>6.4</v>
      </c>
    </row>
    <row r="38" spans="1:127" x14ac:dyDescent="0.25">
      <c r="A38">
        <v>37</v>
      </c>
      <c r="B38">
        <v>23</v>
      </c>
      <c r="C38" t="s">
        <v>86</v>
      </c>
      <c r="D38">
        <v>2026</v>
      </c>
      <c r="E38" t="s">
        <v>153</v>
      </c>
      <c r="F38" t="s">
        <v>152</v>
      </c>
      <c r="G38" t="s">
        <v>127</v>
      </c>
      <c r="H38" t="s">
        <v>285</v>
      </c>
      <c r="I38">
        <v>5399073</v>
      </c>
      <c r="J38" t="s">
        <v>91</v>
      </c>
      <c r="K38">
        <v>100</v>
      </c>
      <c r="L38" t="s">
        <v>88</v>
      </c>
      <c r="M38" t="s">
        <v>88</v>
      </c>
      <c r="N38" t="s">
        <v>88</v>
      </c>
      <c r="O38" t="s">
        <v>88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88</v>
      </c>
      <c r="V38" t="s">
        <v>88</v>
      </c>
      <c r="W38" t="s">
        <v>88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0</v>
      </c>
      <c r="CE38">
        <f t="shared" si="0"/>
        <v>4</v>
      </c>
      <c r="CF38">
        <v>0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f t="shared" si="1"/>
        <v>1</v>
      </c>
      <c r="DT38">
        <v>5</v>
      </c>
      <c r="DU38">
        <v>5</v>
      </c>
      <c r="DV38">
        <v>4</v>
      </c>
      <c r="DW38">
        <v>4.5</v>
      </c>
    </row>
    <row r="39" spans="1:127" x14ac:dyDescent="0.25">
      <c r="A39">
        <v>38</v>
      </c>
      <c r="B39">
        <v>24</v>
      </c>
      <c r="C39" t="s">
        <v>86</v>
      </c>
      <c r="D39">
        <v>2026</v>
      </c>
      <c r="E39" t="s">
        <v>153</v>
      </c>
      <c r="F39" t="s">
        <v>152</v>
      </c>
      <c r="G39" t="s">
        <v>128</v>
      </c>
      <c r="H39" t="s">
        <v>286</v>
      </c>
      <c r="I39">
        <v>7009224</v>
      </c>
      <c r="J39" t="s">
        <v>87</v>
      </c>
      <c r="K39">
        <v>300</v>
      </c>
      <c r="L39" t="s">
        <v>88</v>
      </c>
      <c r="M39" t="s">
        <v>88</v>
      </c>
      <c r="N39" t="s">
        <v>88</v>
      </c>
      <c r="O39" t="s">
        <v>88</v>
      </c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88</v>
      </c>
      <c r="V39" t="s">
        <v>88</v>
      </c>
      <c r="W39" t="s">
        <v>88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f t="shared" si="0"/>
        <v>7</v>
      </c>
      <c r="CF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f t="shared" si="1"/>
        <v>0</v>
      </c>
      <c r="DN39" t="s">
        <v>208</v>
      </c>
      <c r="DO39" t="s">
        <v>197</v>
      </c>
      <c r="DP39" t="s">
        <v>213</v>
      </c>
      <c r="DQ39" t="s">
        <v>197</v>
      </c>
      <c r="DT39">
        <v>9.35</v>
      </c>
      <c r="DV39">
        <v>4.3</v>
      </c>
      <c r="DW39">
        <v>4.9000000000000004</v>
      </c>
    </row>
    <row r="40" spans="1:127" x14ac:dyDescent="0.25">
      <c r="A40">
        <v>39</v>
      </c>
      <c r="B40">
        <v>24</v>
      </c>
      <c r="C40" t="s">
        <v>86</v>
      </c>
      <c r="D40">
        <v>2026</v>
      </c>
      <c r="E40" t="s">
        <v>153</v>
      </c>
      <c r="F40" t="s">
        <v>152</v>
      </c>
      <c r="G40" t="s">
        <v>129</v>
      </c>
      <c r="H40" t="s">
        <v>287</v>
      </c>
      <c r="I40">
        <v>7009715</v>
      </c>
      <c r="J40" t="s">
        <v>87</v>
      </c>
      <c r="K40">
        <v>200</v>
      </c>
      <c r="L40" t="s">
        <v>88</v>
      </c>
      <c r="M40" t="s">
        <v>88</v>
      </c>
      <c r="N40" t="s">
        <v>89</v>
      </c>
      <c r="O40" t="s">
        <v>88</v>
      </c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88</v>
      </c>
      <c r="V40" t="s">
        <v>88</v>
      </c>
      <c r="W40" t="s">
        <v>88</v>
      </c>
      <c r="AB40" t="s">
        <v>209</v>
      </c>
      <c r="AC40" t="s">
        <v>90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f t="shared" si="0"/>
        <v>7</v>
      </c>
      <c r="CF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f t="shared" si="1"/>
        <v>0</v>
      </c>
      <c r="DN40" t="s">
        <v>208</v>
      </c>
      <c r="DO40" t="s">
        <v>197</v>
      </c>
      <c r="DP40" t="s">
        <v>207</v>
      </c>
      <c r="DQ40" t="s">
        <v>197</v>
      </c>
      <c r="DT40">
        <v>7.55</v>
      </c>
      <c r="DV40">
        <v>4.4000000000000004</v>
      </c>
      <c r="DW40">
        <v>4.9000000000000004</v>
      </c>
    </row>
    <row r="41" spans="1:127" x14ac:dyDescent="0.25">
      <c r="A41">
        <v>40</v>
      </c>
      <c r="B41">
        <v>24</v>
      </c>
      <c r="C41" t="s">
        <v>86</v>
      </c>
      <c r="D41">
        <v>2026</v>
      </c>
      <c r="E41" t="s">
        <v>153</v>
      </c>
      <c r="F41" t="s">
        <v>152</v>
      </c>
      <c r="G41" t="s">
        <v>130</v>
      </c>
      <c r="H41" t="s">
        <v>288</v>
      </c>
      <c r="I41">
        <v>7009989</v>
      </c>
      <c r="J41" t="s">
        <v>87</v>
      </c>
      <c r="K41">
        <v>200</v>
      </c>
      <c r="L41" t="s">
        <v>88</v>
      </c>
      <c r="M41" t="s">
        <v>88</v>
      </c>
      <c r="N41" t="s">
        <v>88</v>
      </c>
      <c r="O41" t="s">
        <v>88</v>
      </c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88</v>
      </c>
      <c r="V41" t="s">
        <v>88</v>
      </c>
      <c r="W41" t="s">
        <v>88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f t="shared" si="0"/>
        <v>7</v>
      </c>
      <c r="CF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f t="shared" si="1"/>
        <v>0</v>
      </c>
      <c r="DN41" t="s">
        <v>208</v>
      </c>
      <c r="DO41" t="s">
        <v>197</v>
      </c>
      <c r="DP41" t="s">
        <v>207</v>
      </c>
      <c r="DQ41" t="s">
        <v>197</v>
      </c>
      <c r="DT41">
        <v>7.55</v>
      </c>
      <c r="DV41">
        <v>4.55</v>
      </c>
      <c r="DW41">
        <v>5</v>
      </c>
    </row>
    <row r="42" spans="1:127" x14ac:dyDescent="0.25">
      <c r="A42">
        <v>41</v>
      </c>
      <c r="B42">
        <v>25</v>
      </c>
      <c r="C42" t="s">
        <v>86</v>
      </c>
      <c r="D42">
        <v>2026</v>
      </c>
      <c r="E42" t="s">
        <v>153</v>
      </c>
      <c r="F42" t="s">
        <v>152</v>
      </c>
      <c r="G42" t="s">
        <v>131</v>
      </c>
      <c r="H42" t="s">
        <v>289</v>
      </c>
      <c r="I42">
        <v>7010234</v>
      </c>
      <c r="J42" t="s">
        <v>87</v>
      </c>
      <c r="K42">
        <v>150</v>
      </c>
      <c r="L42" t="s">
        <v>88</v>
      </c>
      <c r="M42" t="s">
        <v>88</v>
      </c>
      <c r="N42" t="s">
        <v>88</v>
      </c>
      <c r="O42" t="s">
        <v>88</v>
      </c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88</v>
      </c>
      <c r="V42" t="s">
        <v>88</v>
      </c>
      <c r="W42" t="s">
        <v>88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0</v>
      </c>
      <c r="CE42">
        <f t="shared" si="0"/>
        <v>4</v>
      </c>
      <c r="CF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N42" t="s">
        <v>208</v>
      </c>
      <c r="DO42" t="s">
        <v>197</v>
      </c>
      <c r="DT42">
        <v>7</v>
      </c>
      <c r="DV42">
        <v>4.0999999999999996</v>
      </c>
      <c r="DW42">
        <v>4.5</v>
      </c>
    </row>
    <row r="43" spans="1:127" x14ac:dyDescent="0.25">
      <c r="A43">
        <v>42</v>
      </c>
      <c r="B43">
        <v>25</v>
      </c>
      <c r="C43" t="s">
        <v>86</v>
      </c>
      <c r="D43">
        <v>2026</v>
      </c>
      <c r="E43" t="s">
        <v>153</v>
      </c>
      <c r="F43" t="s">
        <v>152</v>
      </c>
      <c r="G43" t="s">
        <v>132</v>
      </c>
      <c r="H43" t="s">
        <v>290</v>
      </c>
      <c r="I43">
        <v>7009919</v>
      </c>
      <c r="J43" t="s">
        <v>87</v>
      </c>
      <c r="K43">
        <v>100</v>
      </c>
      <c r="L43" t="s">
        <v>88</v>
      </c>
      <c r="M43" t="s">
        <v>88</v>
      </c>
      <c r="N43" t="s">
        <v>89</v>
      </c>
      <c r="O43" t="s">
        <v>88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88</v>
      </c>
      <c r="V43" t="s">
        <v>88</v>
      </c>
      <c r="W43" t="s">
        <v>88</v>
      </c>
      <c r="AB43" t="s">
        <v>209</v>
      </c>
      <c r="AC43" t="s">
        <v>90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0</v>
      </c>
      <c r="CE43">
        <f t="shared" si="0"/>
        <v>4</v>
      </c>
      <c r="CF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f t="shared" si="1"/>
        <v>0</v>
      </c>
      <c r="DN43" t="s">
        <v>208</v>
      </c>
      <c r="DO43" t="s">
        <v>197</v>
      </c>
      <c r="DT43">
        <v>5.8</v>
      </c>
      <c r="DV43">
        <v>4.0999999999999996</v>
      </c>
      <c r="DW43">
        <v>4.5999999999999996</v>
      </c>
    </row>
    <row r="44" spans="1:127" x14ac:dyDescent="0.25">
      <c r="A44">
        <v>43</v>
      </c>
      <c r="B44">
        <v>26</v>
      </c>
      <c r="C44" t="s">
        <v>86</v>
      </c>
      <c r="D44">
        <v>2026</v>
      </c>
      <c r="E44" t="s">
        <v>153</v>
      </c>
      <c r="F44" t="s">
        <v>152</v>
      </c>
      <c r="G44" t="s">
        <v>133</v>
      </c>
      <c r="H44" t="s">
        <v>276</v>
      </c>
      <c r="I44">
        <v>6579567</v>
      </c>
      <c r="J44" t="s">
        <v>87</v>
      </c>
      <c r="K44">
        <v>150</v>
      </c>
      <c r="L44" t="s">
        <v>88</v>
      </c>
      <c r="M44" t="s">
        <v>88</v>
      </c>
      <c r="O44" t="s">
        <v>88</v>
      </c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89</v>
      </c>
      <c r="V44" t="s">
        <v>88</v>
      </c>
      <c r="W44" t="s">
        <v>88</v>
      </c>
      <c r="AB44" t="s">
        <v>157</v>
      </c>
      <c r="AC44" t="s">
        <v>197</v>
      </c>
      <c r="AP44" t="s">
        <v>220</v>
      </c>
      <c r="AQ44" t="s">
        <v>210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f t="shared" si="0"/>
        <v>6</v>
      </c>
      <c r="CF44">
        <v>0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f t="shared" si="1"/>
        <v>2</v>
      </c>
      <c r="DT44">
        <v>5.5</v>
      </c>
      <c r="DV44">
        <v>2.4</v>
      </c>
      <c r="DW44">
        <v>2.9</v>
      </c>
    </row>
    <row r="45" spans="1:127" x14ac:dyDescent="0.25">
      <c r="A45">
        <v>44</v>
      </c>
      <c r="B45">
        <v>26</v>
      </c>
      <c r="C45" t="s">
        <v>86</v>
      </c>
      <c r="D45">
        <v>2026</v>
      </c>
      <c r="E45" t="s">
        <v>153</v>
      </c>
      <c r="F45" t="s">
        <v>152</v>
      </c>
      <c r="G45" t="s">
        <v>134</v>
      </c>
      <c r="H45" t="s">
        <v>250</v>
      </c>
      <c r="I45">
        <v>7190049</v>
      </c>
      <c r="J45" t="s">
        <v>87</v>
      </c>
      <c r="K45">
        <v>1100</v>
      </c>
      <c r="L45" t="s">
        <v>88</v>
      </c>
      <c r="M45" t="s">
        <v>88</v>
      </c>
      <c r="N45" t="s">
        <v>88</v>
      </c>
      <c r="O45" t="s">
        <v>88</v>
      </c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88</v>
      </c>
      <c r="V45" t="s">
        <v>88</v>
      </c>
      <c r="W45" t="s">
        <v>88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f t="shared" si="0"/>
        <v>4</v>
      </c>
      <c r="CF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f t="shared" si="1"/>
        <v>1</v>
      </c>
      <c r="DT45">
        <v>15.5</v>
      </c>
      <c r="DV45">
        <v>5.65</v>
      </c>
      <c r="DW45">
        <v>6.3</v>
      </c>
    </row>
    <row r="46" spans="1:127" x14ac:dyDescent="0.25">
      <c r="A46">
        <v>45</v>
      </c>
      <c r="B46">
        <v>27</v>
      </c>
      <c r="C46" t="s">
        <v>86</v>
      </c>
      <c r="D46">
        <v>2026</v>
      </c>
      <c r="E46" t="s">
        <v>153</v>
      </c>
      <c r="F46" t="s">
        <v>152</v>
      </c>
      <c r="G46" t="s">
        <v>135</v>
      </c>
      <c r="H46" t="s">
        <v>251</v>
      </c>
      <c r="I46">
        <v>7187260</v>
      </c>
      <c r="J46" t="s">
        <v>87</v>
      </c>
      <c r="K46">
        <v>400</v>
      </c>
      <c r="L46" t="s">
        <v>88</v>
      </c>
      <c r="M46" t="s">
        <v>88</v>
      </c>
      <c r="N46" t="s">
        <v>88</v>
      </c>
      <c r="O46" t="s">
        <v>88</v>
      </c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88</v>
      </c>
      <c r="V46" t="s">
        <v>88</v>
      </c>
      <c r="W46" t="s">
        <v>88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f t="shared" si="0"/>
        <v>4</v>
      </c>
      <c r="CF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f t="shared" si="1"/>
        <v>1</v>
      </c>
      <c r="DT46">
        <v>11.98</v>
      </c>
      <c r="DV46">
        <v>3.6</v>
      </c>
      <c r="DW46">
        <v>4.3</v>
      </c>
    </row>
    <row r="47" spans="1:127" x14ac:dyDescent="0.25">
      <c r="A47">
        <v>46</v>
      </c>
      <c r="B47">
        <v>27</v>
      </c>
      <c r="C47" t="s">
        <v>86</v>
      </c>
      <c r="D47">
        <v>2026</v>
      </c>
      <c r="E47" t="s">
        <v>153</v>
      </c>
      <c r="F47" t="s">
        <v>152</v>
      </c>
      <c r="G47" t="s">
        <v>136</v>
      </c>
      <c r="H47" t="s">
        <v>244</v>
      </c>
      <c r="I47">
        <v>7473897</v>
      </c>
      <c r="J47" t="s">
        <v>87</v>
      </c>
      <c r="K47">
        <v>900</v>
      </c>
      <c r="L47" t="s">
        <v>88</v>
      </c>
      <c r="M47" t="s">
        <v>88</v>
      </c>
      <c r="N47" t="s">
        <v>88</v>
      </c>
      <c r="O47" t="s">
        <v>88</v>
      </c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88</v>
      </c>
      <c r="V47" t="s">
        <v>88</v>
      </c>
      <c r="W47" t="s">
        <v>88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f t="shared" si="0"/>
        <v>4</v>
      </c>
      <c r="CF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f t="shared" si="1"/>
        <v>1</v>
      </c>
      <c r="DT47">
        <v>15.2</v>
      </c>
      <c r="DV47">
        <v>4.8</v>
      </c>
      <c r="DW47">
        <v>5.6</v>
      </c>
    </row>
    <row r="48" spans="1:127" x14ac:dyDescent="0.25">
      <c r="A48">
        <v>47</v>
      </c>
      <c r="B48">
        <v>28</v>
      </c>
      <c r="C48" t="s">
        <v>86</v>
      </c>
      <c r="D48">
        <v>2026</v>
      </c>
      <c r="E48" t="s">
        <v>153</v>
      </c>
      <c r="F48" t="s">
        <v>152</v>
      </c>
      <c r="G48" t="s">
        <v>137</v>
      </c>
      <c r="H48" s="5" t="s">
        <v>244</v>
      </c>
      <c r="I48" s="3">
        <v>7336875</v>
      </c>
      <c r="J48" t="s">
        <v>87</v>
      </c>
      <c r="K48">
        <v>200</v>
      </c>
      <c r="L48" t="s">
        <v>88</v>
      </c>
      <c r="M48" t="s">
        <v>88</v>
      </c>
      <c r="N48" t="s">
        <v>89</v>
      </c>
      <c r="O48" t="s">
        <v>88</v>
      </c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88</v>
      </c>
      <c r="V48" t="s">
        <v>88</v>
      </c>
      <c r="W48" t="s">
        <v>88</v>
      </c>
      <c r="AB48" t="s">
        <v>245</v>
      </c>
      <c r="AC48" t="s">
        <v>246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0</v>
      </c>
      <c r="CD48">
        <v>0</v>
      </c>
      <c r="CE48">
        <f t="shared" si="0"/>
        <v>4</v>
      </c>
      <c r="CF48">
        <v>0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f t="shared" si="1"/>
        <v>1</v>
      </c>
      <c r="DT48">
        <v>8.02</v>
      </c>
      <c r="DV48">
        <v>4.07</v>
      </c>
      <c r="DW48">
        <v>4.7</v>
      </c>
    </row>
    <row r="49" spans="1:127" x14ac:dyDescent="0.25">
      <c r="A49">
        <v>48</v>
      </c>
      <c r="B49">
        <v>28</v>
      </c>
      <c r="C49" t="s">
        <v>86</v>
      </c>
      <c r="D49">
        <v>2026</v>
      </c>
      <c r="E49" t="s">
        <v>153</v>
      </c>
      <c r="F49" t="s">
        <v>152</v>
      </c>
      <c r="G49" t="s">
        <v>138</v>
      </c>
      <c r="H49" t="s">
        <v>252</v>
      </c>
      <c r="I49" s="3">
        <v>7329822</v>
      </c>
      <c r="J49" t="s">
        <v>87</v>
      </c>
      <c r="K49">
        <v>400</v>
      </c>
      <c r="L49" t="s">
        <v>88</v>
      </c>
      <c r="M49" t="s">
        <v>88</v>
      </c>
      <c r="N49" t="s">
        <v>88</v>
      </c>
      <c r="O49" t="s">
        <v>88</v>
      </c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88</v>
      </c>
      <c r="V49" t="s">
        <v>88</v>
      </c>
      <c r="W49" t="s">
        <v>88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0</v>
      </c>
      <c r="CD49">
        <v>0</v>
      </c>
      <c r="CE49">
        <f t="shared" si="0"/>
        <v>4</v>
      </c>
      <c r="CF49">
        <v>0</v>
      </c>
      <c r="CQ49">
        <v>0</v>
      </c>
      <c r="CR49">
        <v>0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f t="shared" si="1"/>
        <v>1</v>
      </c>
      <c r="DT49">
        <v>11.2</v>
      </c>
      <c r="DV49">
        <v>4</v>
      </c>
      <c r="DW49">
        <v>4.5</v>
      </c>
    </row>
    <row r="50" spans="1:127" x14ac:dyDescent="0.25">
      <c r="A50">
        <v>49</v>
      </c>
      <c r="B50">
        <v>29</v>
      </c>
      <c r="C50" t="s">
        <v>86</v>
      </c>
      <c r="D50">
        <v>2026</v>
      </c>
      <c r="E50" t="s">
        <v>153</v>
      </c>
      <c r="F50" t="s">
        <v>152</v>
      </c>
      <c r="G50" t="s">
        <v>139</v>
      </c>
      <c r="H50" t="s">
        <v>291</v>
      </c>
      <c r="I50">
        <v>4278906</v>
      </c>
      <c r="J50" t="s">
        <v>87</v>
      </c>
      <c r="K50">
        <v>450</v>
      </c>
      <c r="L50" t="s">
        <v>88</v>
      </c>
      <c r="M50" t="s">
        <v>88</v>
      </c>
      <c r="N50" t="s">
        <v>88</v>
      </c>
      <c r="O50" t="s">
        <v>88</v>
      </c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88</v>
      </c>
      <c r="V50" t="s">
        <v>88</v>
      </c>
      <c r="W50" t="s">
        <v>88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f t="shared" si="0"/>
        <v>6</v>
      </c>
      <c r="CF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f t="shared" si="1"/>
        <v>2</v>
      </c>
      <c r="DT50">
        <v>12.4</v>
      </c>
      <c r="DV50">
        <v>3.4</v>
      </c>
      <c r="DW50">
        <v>3.5</v>
      </c>
    </row>
    <row r="51" spans="1:127" x14ac:dyDescent="0.25">
      <c r="A51">
        <v>50</v>
      </c>
      <c r="B51">
        <v>29</v>
      </c>
      <c r="C51" t="s">
        <v>86</v>
      </c>
      <c r="D51">
        <v>2026</v>
      </c>
      <c r="E51" t="s">
        <v>153</v>
      </c>
      <c r="F51" t="s">
        <v>152</v>
      </c>
      <c r="G51" t="s">
        <v>126</v>
      </c>
      <c r="H51" t="s">
        <v>276</v>
      </c>
      <c r="I51">
        <v>6238794</v>
      </c>
      <c r="J51" t="s">
        <v>87</v>
      </c>
      <c r="K51">
        <v>50</v>
      </c>
      <c r="L51" t="s">
        <v>89</v>
      </c>
      <c r="M51" t="s">
        <v>88</v>
      </c>
      <c r="O51" t="s">
        <v>88</v>
      </c>
      <c r="P51" t="s">
        <v>88</v>
      </c>
      <c r="Q51" t="s">
        <v>88</v>
      </c>
      <c r="R51" t="s">
        <v>88</v>
      </c>
      <c r="S51" t="s">
        <v>89</v>
      </c>
      <c r="T51" t="s">
        <v>88</v>
      </c>
      <c r="U51" t="s">
        <v>88</v>
      </c>
      <c r="V51" t="s">
        <v>88</v>
      </c>
      <c r="W51" t="s">
        <v>88</v>
      </c>
      <c r="X51" t="s">
        <v>237</v>
      </c>
      <c r="Y51" t="s">
        <v>197</v>
      </c>
      <c r="AB51" t="s">
        <v>157</v>
      </c>
      <c r="AC51" t="s">
        <v>197</v>
      </c>
      <c r="AL51" t="s">
        <v>204</v>
      </c>
      <c r="AM51" t="s">
        <v>205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f t="shared" si="0"/>
        <v>4</v>
      </c>
      <c r="CF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f t="shared" si="1"/>
        <v>1</v>
      </c>
      <c r="DN51" t="s">
        <v>208</v>
      </c>
      <c r="DO51" t="s">
        <v>197</v>
      </c>
      <c r="DT51">
        <v>5.6</v>
      </c>
      <c r="DV51">
        <v>2.4</v>
      </c>
      <c r="DW51">
        <v>2.85</v>
      </c>
    </row>
    <row r="52" spans="1:127" s="7" customFormat="1" x14ac:dyDescent="0.25">
      <c r="A52" s="7">
        <v>51</v>
      </c>
      <c r="B52" s="7">
        <v>30</v>
      </c>
      <c r="C52" s="7" t="s">
        <v>86</v>
      </c>
      <c r="D52" s="7">
        <v>2026</v>
      </c>
      <c r="E52" s="7" t="s">
        <v>153</v>
      </c>
      <c r="F52" s="7" t="s">
        <v>152</v>
      </c>
      <c r="G52" s="7" t="s">
        <v>140</v>
      </c>
      <c r="H52" s="7" t="s">
        <v>292</v>
      </c>
      <c r="I52" s="7">
        <v>5032097</v>
      </c>
      <c r="J52" s="7" t="s">
        <v>87</v>
      </c>
      <c r="K52" s="7">
        <v>850</v>
      </c>
      <c r="L52" s="7" t="s">
        <v>88</v>
      </c>
      <c r="M52" s="7" t="s">
        <v>88</v>
      </c>
      <c r="N52" s="7" t="s">
        <v>89</v>
      </c>
      <c r="O52" s="7" t="s">
        <v>88</v>
      </c>
      <c r="P52" s="7" t="s">
        <v>89</v>
      </c>
      <c r="Q52" s="7" t="s">
        <v>88</v>
      </c>
      <c r="R52" s="7" t="s">
        <v>89</v>
      </c>
      <c r="S52" s="7" t="s">
        <v>89</v>
      </c>
      <c r="T52" s="7" t="s">
        <v>88</v>
      </c>
      <c r="U52" s="7" t="s">
        <v>89</v>
      </c>
      <c r="W52" s="7" t="s">
        <v>88</v>
      </c>
      <c r="AB52" s="7" t="s">
        <v>209</v>
      </c>
      <c r="AC52" s="7" t="s">
        <v>90</v>
      </c>
      <c r="AF52" s="7" t="s">
        <v>204</v>
      </c>
      <c r="AG52" s="7" t="s">
        <v>205</v>
      </c>
      <c r="AJ52" s="7" t="s">
        <v>204</v>
      </c>
      <c r="AK52" s="7" t="s">
        <v>205</v>
      </c>
      <c r="AL52" s="7" t="s">
        <v>204</v>
      </c>
      <c r="AM52" s="7" t="s">
        <v>205</v>
      </c>
      <c r="AP52" s="7" t="s">
        <v>206</v>
      </c>
      <c r="AQ52" s="7" t="s">
        <v>197</v>
      </c>
      <c r="AR52" s="7" t="s">
        <v>157</v>
      </c>
      <c r="AS52" s="7" t="s">
        <v>158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1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2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1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1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1</v>
      </c>
      <c r="CD52" s="7">
        <v>0</v>
      </c>
      <c r="CE52" s="7">
        <f t="shared" si="0"/>
        <v>6</v>
      </c>
      <c r="CF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f t="shared" si="1"/>
        <v>0</v>
      </c>
      <c r="DN52" s="7" t="s">
        <v>196</v>
      </c>
      <c r="DO52" s="7" t="s">
        <v>238</v>
      </c>
      <c r="DP52" s="7" t="s">
        <v>226</v>
      </c>
      <c r="DQ52" s="7" t="s">
        <v>197</v>
      </c>
      <c r="DT52" s="7">
        <v>15.11</v>
      </c>
      <c r="DV52" s="7">
        <v>5.1100000000000003</v>
      </c>
      <c r="DW52" s="7">
        <v>5.3</v>
      </c>
    </row>
    <row r="53" spans="1:127" x14ac:dyDescent="0.25">
      <c r="A53">
        <v>52</v>
      </c>
      <c r="B53">
        <v>30</v>
      </c>
      <c r="C53" t="s">
        <v>86</v>
      </c>
      <c r="D53">
        <v>2026</v>
      </c>
      <c r="E53" t="s">
        <v>153</v>
      </c>
      <c r="F53" t="s">
        <v>152</v>
      </c>
      <c r="G53" t="s">
        <v>141</v>
      </c>
      <c r="H53" t="s">
        <v>293</v>
      </c>
      <c r="I53">
        <v>5628744</v>
      </c>
      <c r="J53" t="s">
        <v>87</v>
      </c>
      <c r="K53">
        <v>370</v>
      </c>
      <c r="L53" t="s">
        <v>88</v>
      </c>
      <c r="M53" t="s">
        <v>88</v>
      </c>
      <c r="N53" t="s">
        <v>89</v>
      </c>
      <c r="O53" t="s">
        <v>88</v>
      </c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88</v>
      </c>
      <c r="V53" t="s">
        <v>88</v>
      </c>
      <c r="W53" t="s">
        <v>88</v>
      </c>
      <c r="AB53" t="s">
        <v>209</v>
      </c>
      <c r="AC53" t="s">
        <v>90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f t="shared" si="0"/>
        <v>6</v>
      </c>
      <c r="CF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f t="shared" si="1"/>
        <v>2</v>
      </c>
      <c r="DT53">
        <v>9.9</v>
      </c>
      <c r="DV53">
        <v>4.7</v>
      </c>
      <c r="DW53">
        <v>5</v>
      </c>
    </row>
    <row r="54" spans="1:127" x14ac:dyDescent="0.25">
      <c r="A54">
        <v>53</v>
      </c>
      <c r="B54">
        <v>31</v>
      </c>
      <c r="C54" t="s">
        <v>86</v>
      </c>
      <c r="D54">
        <v>2026</v>
      </c>
      <c r="E54" t="s">
        <v>153</v>
      </c>
      <c r="F54" t="s">
        <v>152</v>
      </c>
      <c r="G54" t="s">
        <v>142</v>
      </c>
      <c r="H54" t="s">
        <v>294</v>
      </c>
      <c r="I54">
        <v>5848384</v>
      </c>
      <c r="J54" t="s">
        <v>87</v>
      </c>
      <c r="K54">
        <v>300</v>
      </c>
      <c r="L54" t="s">
        <v>88</v>
      </c>
      <c r="M54" t="s">
        <v>88</v>
      </c>
      <c r="N54" t="s">
        <v>88</v>
      </c>
      <c r="O54" t="s">
        <v>88</v>
      </c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88</v>
      </c>
      <c r="V54" t="s">
        <v>88</v>
      </c>
      <c r="W54" t="s">
        <v>88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2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0</v>
      </c>
      <c r="CE54">
        <f t="shared" si="0"/>
        <v>6</v>
      </c>
      <c r="CF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1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f t="shared" si="1"/>
        <v>1</v>
      </c>
      <c r="DN54" t="s">
        <v>207</v>
      </c>
      <c r="DO54" t="s">
        <v>197</v>
      </c>
      <c r="DT54">
        <v>7.95</v>
      </c>
      <c r="DV54">
        <v>5.5</v>
      </c>
      <c r="DW54">
        <v>6.5</v>
      </c>
    </row>
    <row r="55" spans="1:127" x14ac:dyDescent="0.25">
      <c r="A55">
        <v>54</v>
      </c>
      <c r="B55">
        <v>31</v>
      </c>
      <c r="C55" t="s">
        <v>86</v>
      </c>
      <c r="D55">
        <v>2026</v>
      </c>
      <c r="E55" t="s">
        <v>153</v>
      </c>
      <c r="F55" t="s">
        <v>152</v>
      </c>
      <c r="G55" t="s">
        <v>143</v>
      </c>
      <c r="H55" t="s">
        <v>295</v>
      </c>
      <c r="I55">
        <v>5063898</v>
      </c>
      <c r="J55" t="s">
        <v>87</v>
      </c>
      <c r="K55">
        <v>600</v>
      </c>
      <c r="L55" t="s">
        <v>88</v>
      </c>
      <c r="M55" t="s">
        <v>88</v>
      </c>
      <c r="O55" t="s">
        <v>88</v>
      </c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88</v>
      </c>
      <c r="V55" t="s">
        <v>88</v>
      </c>
      <c r="W55" t="s">
        <v>88</v>
      </c>
      <c r="AB55" t="s">
        <v>157</v>
      </c>
      <c r="AC55" t="s">
        <v>197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2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f t="shared" si="0"/>
        <v>6</v>
      </c>
      <c r="CF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f t="shared" si="1"/>
        <v>0</v>
      </c>
      <c r="DN55" t="s">
        <v>207</v>
      </c>
      <c r="DO55" t="s">
        <v>197</v>
      </c>
      <c r="DP55" t="s">
        <v>239</v>
      </c>
      <c r="DQ55" t="s">
        <v>197</v>
      </c>
      <c r="DT55">
        <v>12.65</v>
      </c>
      <c r="DV55">
        <v>4.45</v>
      </c>
      <c r="DW55">
        <v>4.45</v>
      </c>
    </row>
    <row r="56" spans="1:127" ht="13.5" customHeight="1" x14ac:dyDescent="0.25">
      <c r="A56">
        <v>55</v>
      </c>
      <c r="B56">
        <v>1</v>
      </c>
      <c r="C56" t="s">
        <v>304</v>
      </c>
      <c r="D56">
        <v>2026</v>
      </c>
      <c r="E56" t="s">
        <v>153</v>
      </c>
      <c r="F56" t="s">
        <v>152</v>
      </c>
      <c r="G56" t="s">
        <v>144</v>
      </c>
      <c r="H56" t="s">
        <v>296</v>
      </c>
      <c r="I56">
        <v>5290892</v>
      </c>
      <c r="J56" t="s">
        <v>87</v>
      </c>
      <c r="K56">
        <v>500</v>
      </c>
      <c r="L56" t="s">
        <v>88</v>
      </c>
      <c r="M56" t="s">
        <v>88</v>
      </c>
      <c r="N56" t="s">
        <v>88</v>
      </c>
      <c r="O56" t="s">
        <v>88</v>
      </c>
      <c r="P56" t="s">
        <v>88</v>
      </c>
      <c r="Q56" t="s">
        <v>88</v>
      </c>
      <c r="R56" t="s">
        <v>88</v>
      </c>
      <c r="S56" t="s">
        <v>88</v>
      </c>
      <c r="T56" t="s">
        <v>88</v>
      </c>
      <c r="V56" t="s">
        <v>88</v>
      </c>
      <c r="W56" t="s">
        <v>88</v>
      </c>
      <c r="AP56" t="s">
        <v>157</v>
      </c>
      <c r="AQ56" t="s">
        <v>197</v>
      </c>
      <c r="AV56">
        <v>0</v>
      </c>
      <c r="AW56">
        <v>0</v>
      </c>
      <c r="AX56">
        <v>0</v>
      </c>
      <c r="AY56">
        <v>0</v>
      </c>
      <c r="AZ56">
        <v>0</v>
      </c>
      <c r="BA56" s="7">
        <v>1</v>
      </c>
      <c r="BB56" s="7">
        <v>1</v>
      </c>
      <c r="BC56" s="7">
        <v>0</v>
      </c>
      <c r="BD56" s="7">
        <v>0</v>
      </c>
      <c r="BE56" s="7">
        <v>0</v>
      </c>
      <c r="BF56" s="7">
        <v>0</v>
      </c>
      <c r="BG56" s="7">
        <v>4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 s="7">
        <v>1</v>
      </c>
      <c r="CE56">
        <f t="shared" si="0"/>
        <v>7</v>
      </c>
      <c r="CF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 s="7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f t="shared" si="1"/>
        <v>1</v>
      </c>
      <c r="DT56">
        <v>9.85</v>
      </c>
      <c r="DV56">
        <v>6.35</v>
      </c>
      <c r="DW56">
        <v>6.65</v>
      </c>
    </row>
    <row r="57" spans="1:127" s="7" customFormat="1" x14ac:dyDescent="0.25">
      <c r="A57" s="7">
        <v>56</v>
      </c>
      <c r="B57" s="7">
        <v>1</v>
      </c>
      <c r="C57" s="7" t="s">
        <v>304</v>
      </c>
      <c r="D57" s="7">
        <v>2026</v>
      </c>
      <c r="E57" s="7" t="s">
        <v>153</v>
      </c>
      <c r="F57" s="7" t="s">
        <v>152</v>
      </c>
      <c r="G57" s="7" t="s">
        <v>145</v>
      </c>
      <c r="H57" s="7" t="s">
        <v>297</v>
      </c>
      <c r="I57" s="7">
        <v>4259602</v>
      </c>
      <c r="J57" s="7" t="s">
        <v>87</v>
      </c>
      <c r="K57" s="7">
        <v>615</v>
      </c>
      <c r="L57" s="7" t="s">
        <v>88</v>
      </c>
      <c r="M57" s="7" t="s">
        <v>88</v>
      </c>
      <c r="N57" s="7" t="s">
        <v>88</v>
      </c>
      <c r="O57" s="7" t="s">
        <v>88</v>
      </c>
      <c r="P57" s="7" t="s">
        <v>88</v>
      </c>
      <c r="Q57" s="7" t="s">
        <v>88</v>
      </c>
      <c r="R57" s="7" t="s">
        <v>88</v>
      </c>
      <c r="S57" s="7" t="s">
        <v>89</v>
      </c>
      <c r="T57" s="7" t="s">
        <v>88</v>
      </c>
      <c r="U57" s="7" t="s">
        <v>89</v>
      </c>
      <c r="V57" s="7" t="s">
        <v>88</v>
      </c>
      <c r="W57" s="7" t="s">
        <v>88</v>
      </c>
      <c r="AL57" s="7" t="s">
        <v>204</v>
      </c>
      <c r="AM57" s="7" t="s">
        <v>240</v>
      </c>
      <c r="AP57" s="7" t="s">
        <v>156</v>
      </c>
      <c r="AQ57" s="7" t="s">
        <v>241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1</v>
      </c>
      <c r="BC57" s="7">
        <v>0</v>
      </c>
      <c r="BD57" s="7">
        <v>0</v>
      </c>
      <c r="BE57" s="7">
        <v>0</v>
      </c>
      <c r="BF57" s="7">
        <v>0</v>
      </c>
      <c r="BG57" s="7">
        <v>6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1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1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1</v>
      </c>
      <c r="CE57" s="7">
        <f t="shared" si="0"/>
        <v>10</v>
      </c>
      <c r="CF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1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6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f t="shared" si="1"/>
        <v>7</v>
      </c>
      <c r="DT57" s="7">
        <v>14</v>
      </c>
      <c r="DV57" s="7">
        <v>3.95</v>
      </c>
      <c r="DW57" s="7">
        <v>4.25</v>
      </c>
    </row>
    <row r="58" spans="1:127" x14ac:dyDescent="0.25">
      <c r="A58">
        <v>57</v>
      </c>
      <c r="B58">
        <v>2</v>
      </c>
      <c r="C58" t="s">
        <v>304</v>
      </c>
      <c r="D58">
        <v>2026</v>
      </c>
      <c r="E58" t="s">
        <v>153</v>
      </c>
      <c r="F58" t="s">
        <v>152</v>
      </c>
      <c r="G58" t="s">
        <v>146</v>
      </c>
      <c r="H58" t="s">
        <v>298</v>
      </c>
      <c r="I58">
        <v>4107522</v>
      </c>
      <c r="J58" t="s">
        <v>87</v>
      </c>
      <c r="K58">
        <v>600</v>
      </c>
      <c r="L58" t="s">
        <v>88</v>
      </c>
      <c r="M58" t="s">
        <v>88</v>
      </c>
      <c r="N58" t="s">
        <v>88</v>
      </c>
      <c r="O58" t="s">
        <v>88</v>
      </c>
      <c r="P58" t="s">
        <v>89</v>
      </c>
      <c r="Q58" t="s">
        <v>88</v>
      </c>
      <c r="R58" t="s">
        <v>88</v>
      </c>
      <c r="S58" t="s">
        <v>88</v>
      </c>
      <c r="T58" t="s">
        <v>88</v>
      </c>
      <c r="U58" t="s">
        <v>88</v>
      </c>
      <c r="V58" t="s">
        <v>88</v>
      </c>
      <c r="W58" t="s">
        <v>88</v>
      </c>
      <c r="AF58" t="s">
        <v>204</v>
      </c>
      <c r="AG58" t="s">
        <v>205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</v>
      </c>
      <c r="CC58">
        <v>0</v>
      </c>
      <c r="CD58">
        <v>0</v>
      </c>
      <c r="CE58">
        <f t="shared" si="0"/>
        <v>4</v>
      </c>
      <c r="CF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N58" t="s">
        <v>213</v>
      </c>
      <c r="DO58" t="s">
        <v>197</v>
      </c>
      <c r="DT58">
        <v>11.9</v>
      </c>
      <c r="DV58">
        <v>4.4000000000000004</v>
      </c>
      <c r="DW58">
        <v>4.5</v>
      </c>
    </row>
    <row r="59" spans="1:127" x14ac:dyDescent="0.25">
      <c r="A59">
        <v>58</v>
      </c>
      <c r="B59">
        <v>2</v>
      </c>
      <c r="C59" t="s">
        <v>304</v>
      </c>
      <c r="D59">
        <v>2026</v>
      </c>
      <c r="E59" t="s">
        <v>153</v>
      </c>
      <c r="F59" t="s">
        <v>152</v>
      </c>
      <c r="G59" t="s">
        <v>147</v>
      </c>
      <c r="H59" t="s">
        <v>299</v>
      </c>
      <c r="I59">
        <v>5583610</v>
      </c>
      <c r="J59" t="s">
        <v>87</v>
      </c>
      <c r="K59">
        <v>600</v>
      </c>
      <c r="L59" t="s">
        <v>88</v>
      </c>
      <c r="M59" t="s">
        <v>88</v>
      </c>
      <c r="N59" t="s">
        <v>88</v>
      </c>
      <c r="O59" t="s">
        <v>88</v>
      </c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88</v>
      </c>
      <c r="V59" t="s">
        <v>88</v>
      </c>
      <c r="W59" t="s">
        <v>88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f t="shared" si="0"/>
        <v>6</v>
      </c>
      <c r="CF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f t="shared" si="1"/>
        <v>1</v>
      </c>
      <c r="DP59" t="s">
        <v>157</v>
      </c>
      <c r="DQ59" t="s">
        <v>197</v>
      </c>
      <c r="DT59">
        <v>7.95</v>
      </c>
      <c r="DV59">
        <v>6</v>
      </c>
      <c r="DW59">
        <v>6.4</v>
      </c>
    </row>
    <row r="60" spans="1:127" x14ac:dyDescent="0.25">
      <c r="A60">
        <v>59</v>
      </c>
      <c r="B60">
        <v>3</v>
      </c>
      <c r="C60" t="s">
        <v>304</v>
      </c>
      <c r="D60">
        <v>2026</v>
      </c>
      <c r="E60" t="s">
        <v>153</v>
      </c>
      <c r="F60" t="s">
        <v>152</v>
      </c>
      <c r="G60" t="s">
        <v>148</v>
      </c>
      <c r="H60" t="s">
        <v>300</v>
      </c>
      <c r="I60">
        <v>5946506</v>
      </c>
      <c r="J60" t="s">
        <v>87</v>
      </c>
      <c r="K60">
        <v>600</v>
      </c>
      <c r="L60" t="s">
        <v>88</v>
      </c>
      <c r="M60" t="s">
        <v>88</v>
      </c>
      <c r="N60" t="s">
        <v>89</v>
      </c>
      <c r="O60" t="s">
        <v>88</v>
      </c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88</v>
      </c>
      <c r="V60" t="s">
        <v>88</v>
      </c>
      <c r="W60" t="s">
        <v>88</v>
      </c>
      <c r="AB60" t="s">
        <v>209</v>
      </c>
      <c r="AC60" t="s">
        <v>90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2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0</v>
      </c>
      <c r="CE60">
        <f t="shared" si="0"/>
        <v>6</v>
      </c>
      <c r="CF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f t="shared" si="1"/>
        <v>2</v>
      </c>
      <c r="DT60">
        <v>7.91</v>
      </c>
      <c r="DV60">
        <v>4</v>
      </c>
      <c r="DW60">
        <v>4.4000000000000004</v>
      </c>
    </row>
    <row r="61" spans="1:127" x14ac:dyDescent="0.25">
      <c r="A61">
        <v>60</v>
      </c>
      <c r="B61">
        <v>3</v>
      </c>
      <c r="C61" t="s">
        <v>304</v>
      </c>
      <c r="D61">
        <v>2026</v>
      </c>
      <c r="E61" t="s">
        <v>153</v>
      </c>
      <c r="F61" t="s">
        <v>152</v>
      </c>
      <c r="G61" t="s">
        <v>149</v>
      </c>
      <c r="H61" t="s">
        <v>301</v>
      </c>
      <c r="I61">
        <v>5290894</v>
      </c>
      <c r="J61" t="s">
        <v>87</v>
      </c>
      <c r="K61">
        <v>700</v>
      </c>
      <c r="L61" t="s">
        <v>88</v>
      </c>
      <c r="M61" t="s">
        <v>88</v>
      </c>
      <c r="O61" t="s">
        <v>88</v>
      </c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88</v>
      </c>
      <c r="V61" t="s">
        <v>88</v>
      </c>
      <c r="W61" t="s">
        <v>88</v>
      </c>
      <c r="AB61" t="s">
        <v>157</v>
      </c>
      <c r="AC61" t="s">
        <v>197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2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</v>
      </c>
      <c r="CE61">
        <f t="shared" si="0"/>
        <v>6</v>
      </c>
      <c r="CF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f t="shared" si="1"/>
        <v>2</v>
      </c>
      <c r="DP61" t="s">
        <v>242</v>
      </c>
      <c r="DQ61" t="s">
        <v>197</v>
      </c>
      <c r="DT61">
        <v>12.75</v>
      </c>
      <c r="DV61">
        <v>5.55</v>
      </c>
      <c r="DW61">
        <v>6.1</v>
      </c>
    </row>
    <row r="62" spans="1:127" x14ac:dyDescent="0.25">
      <c r="A62">
        <v>61</v>
      </c>
      <c r="B62">
        <v>4</v>
      </c>
      <c r="C62" t="s">
        <v>304</v>
      </c>
      <c r="D62">
        <v>2026</v>
      </c>
      <c r="E62" t="s">
        <v>153</v>
      </c>
      <c r="F62" t="s">
        <v>152</v>
      </c>
      <c r="G62" t="s">
        <v>150</v>
      </c>
      <c r="H62" t="s">
        <v>302</v>
      </c>
      <c r="I62">
        <v>5255843</v>
      </c>
      <c r="J62" t="s">
        <v>91</v>
      </c>
      <c r="K62">
        <v>1000</v>
      </c>
      <c r="L62" t="s">
        <v>88</v>
      </c>
      <c r="M62" t="s">
        <v>88</v>
      </c>
      <c r="O62" t="s">
        <v>88</v>
      </c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88</v>
      </c>
      <c r="V62" t="s">
        <v>88</v>
      </c>
      <c r="W62" t="s">
        <v>88</v>
      </c>
      <c r="AB62" t="s">
        <v>157</v>
      </c>
      <c r="AC62" t="s">
        <v>197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0</v>
      </c>
      <c r="CE62">
        <f t="shared" si="0"/>
        <v>4</v>
      </c>
      <c r="CF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f t="shared" si="1"/>
        <v>1</v>
      </c>
      <c r="DT62">
        <v>11.4</v>
      </c>
      <c r="DV62">
        <v>4</v>
      </c>
      <c r="DW62">
        <v>3.3</v>
      </c>
    </row>
    <row r="63" spans="1:127" x14ac:dyDescent="0.25">
      <c r="A63">
        <v>62</v>
      </c>
      <c r="B63">
        <v>4</v>
      </c>
      <c r="C63" t="s">
        <v>304</v>
      </c>
      <c r="D63">
        <v>2026</v>
      </c>
      <c r="E63" t="s">
        <v>153</v>
      </c>
      <c r="F63" t="s">
        <v>152</v>
      </c>
      <c r="G63" t="s">
        <v>151</v>
      </c>
      <c r="H63" t="s">
        <v>303</v>
      </c>
      <c r="I63">
        <v>5774587</v>
      </c>
      <c r="J63" t="s">
        <v>87</v>
      </c>
      <c r="K63">
        <v>650</v>
      </c>
      <c r="L63" t="s">
        <v>88</v>
      </c>
      <c r="M63" t="s">
        <v>88</v>
      </c>
      <c r="N63" t="s">
        <v>88</v>
      </c>
      <c r="O63" t="s">
        <v>88</v>
      </c>
      <c r="P63" t="s">
        <v>88</v>
      </c>
      <c r="Q63" t="s">
        <v>88</v>
      </c>
      <c r="R63" t="s">
        <v>88</v>
      </c>
      <c r="S63" t="s">
        <v>89</v>
      </c>
      <c r="T63" t="s">
        <v>88</v>
      </c>
      <c r="U63" t="s">
        <v>89</v>
      </c>
      <c r="V63" t="s">
        <v>88</v>
      </c>
      <c r="W63" t="s">
        <v>89</v>
      </c>
      <c r="AL63" t="s">
        <v>204</v>
      </c>
      <c r="AM63" t="s">
        <v>205</v>
      </c>
      <c r="AP63" t="s">
        <v>206</v>
      </c>
      <c r="AQ63" t="s">
        <v>205</v>
      </c>
      <c r="AT63" t="s">
        <v>243</v>
      </c>
      <c r="AU63" t="s">
        <v>212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0</v>
      </c>
      <c r="CE63">
        <f t="shared" si="0"/>
        <v>6</v>
      </c>
      <c r="CF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f t="shared" si="1"/>
        <v>0</v>
      </c>
      <c r="DN63" t="s">
        <v>213</v>
      </c>
      <c r="DO63" t="s">
        <v>197</v>
      </c>
      <c r="DP63" t="s">
        <v>208</v>
      </c>
      <c r="DQ63" t="s">
        <v>197</v>
      </c>
      <c r="DT63">
        <v>14.9</v>
      </c>
      <c r="DV63">
        <v>3.8</v>
      </c>
      <c r="DW63">
        <v>4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MONSALVE FERNANDEZ</dc:creator>
  <cp:lastModifiedBy>CRISTHIAN MONSALVE FERNANDEZ</cp:lastModifiedBy>
  <cp:lastPrinted>2026-02-05T14:40:08Z</cp:lastPrinted>
  <dcterms:created xsi:type="dcterms:W3CDTF">2026-01-27T16:17:54Z</dcterms:created>
  <dcterms:modified xsi:type="dcterms:W3CDTF">2026-02-06T22:45:49Z</dcterms:modified>
</cp:coreProperties>
</file>